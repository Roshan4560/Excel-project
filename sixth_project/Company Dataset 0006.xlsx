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roshan\OneDrive\Desktop\Excel\sixth_project\"/>
    </mc:Choice>
  </mc:AlternateContent>
  <xr:revisionPtr revIDLastSave="0" documentId="8_{5F4C4E2F-88F0-4652-9BA9-1FC0FE926D0B}" xr6:coauthVersionLast="47" xr6:coauthVersionMax="47" xr10:uidLastSave="{00000000-0000-0000-0000-000000000000}"/>
  <bookViews>
    <workbookView xWindow="-120" yWindow="-120" windowWidth="24240" windowHeight="13020" activeTab="10" xr2:uid="{98D7CEBC-42DC-4E7F-B197-4C2A6B249230}"/>
  </bookViews>
  <sheets>
    <sheet name="Month vs Department" sheetId="5" r:id="rId1"/>
    <sheet name="Department vs money types" sheetId="6" r:id="rId2"/>
    <sheet name="Department vs payment method" sheetId="7" r:id="rId3"/>
    <sheet name="Department vs Payment Status" sheetId="8" r:id="rId4"/>
    <sheet name="Number of Vendor or Client" sheetId="9" r:id="rId5"/>
    <sheet name="Department vs Amount" sheetId="10" r:id="rId6"/>
    <sheet name="Department vs Region" sheetId="11" r:id="rId7"/>
    <sheet name="Department vs Tax Amount" sheetId="12" r:id="rId8"/>
    <sheet name="Payment Method vs Net Amount" sheetId="13" r:id="rId9"/>
    <sheet name="Dashboard" sheetId="14" r:id="rId10"/>
    <sheet name="Dataset" sheetId="1" r:id="rId11"/>
  </sheets>
  <definedNames>
    <definedName name="Slicer_Category">#N/A</definedName>
    <definedName name="Slicer_Department">#N/A</definedName>
    <definedName name="Slicer_Month">#N/A</definedName>
    <definedName name="Slicer_Payment_Method">#N/A</definedName>
    <definedName name="Slicer_Priority">#N/A</definedName>
    <definedName name="Slicer_Region">#N/A</definedName>
    <definedName name="Slicer_Status">#N/A</definedName>
    <definedName name="Slicer_Type">#N/A</definedName>
    <definedName name="Slicer_Vendor_Client">#N/A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tc={49505E2B-FA9B-4AE8-9063-91235267AF9A}</author>
    <author>tc={CA51F48B-45C2-49D8-832D-81AEE324674A}</author>
    <author>tc={68F25109-FEBD-4644-893C-E53E9E4B519C}</author>
    <author>tc={878A1733-9D05-40DF-89D8-29D677089DBF}</author>
    <author>tc={8B4CDB8D-40F3-499F-81E4-3ECF5C5FD4AE}</author>
    <author>tc={CF29F873-55BF-4129-9339-0086E441746F}</author>
    <author>tc={C31EF3EE-B615-4604-830D-B1892E7444AE}</author>
    <author>tc={4374F1B2-9A0B-4239-805F-35A6F94C1861}</author>
    <author>tc={549BEDCD-440A-4111-B01D-AF5298970162}</author>
    <author>tc={3AA0EDB3-11DA-450C-B9F9-A1810FB3CDCD}</author>
    <author>tc={8A0A03C0-1020-4E8A-9EA9-6F6E54109564}</author>
    <author>tc={102F06A3-AAD1-466D-9196-A7F47B508F6E}</author>
    <author>tc={9D0C39D8-CBD4-4BD4-9447-8534890E1624}</author>
    <author>tc={7088CBC4-2972-4850-AD94-58B77F873454}</author>
    <author>tc={92E78318-72FC-452E-9C23-EB5A3307EBE7}</author>
    <author>tc={21400C31-22F8-4F7C-853F-6133F876AEFA}</author>
    <author>tc={8EB3C2A2-AEF7-4079-9896-7A8BA48A4832}</author>
    <author>tc={8189484A-A12A-48F1-9C11-E84B619E7BC3}</author>
    <author>tc={FFF37386-9ADD-4952-A175-0DE242DAABC2}</author>
    <author>tc={707966B0-A0EF-4DB1-A37C-FA72470C7460}</author>
  </authors>
  <commentList>
    <comment ref="S2" authorId="0" shapeId="0" xr:uid="{49505E2B-FA9B-4AE8-9063-91235267AF9A}">
      <text>
        <t>[Threaded comment]
Your version of Excel allows you to read this threaded comment; however, any edits to it will get removed if the file is opened in a newer version of Excel. Learn more: https://go.microsoft.com/fwlink/?linkid=870924
Comment:
    1. Total Income aur Total Expense alag-alag nikaliye.</t>
      </text>
    </comment>
    <comment ref="S3" authorId="1" shapeId="0" xr:uid="{CA51F48B-45C2-49D8-832D-81AEE324674A}">
      <text>
        <t>[Threaded comment]
Your version of Excel allows you to read this threaded comment; however, any edits to it will get removed if the file is opened in a newer version of Excel. Learn more: https://go.microsoft.com/fwlink/?linkid=870924
Comment:
    2. Net cash impact kya hai? (Income - Expense, Amount basis par)</t>
      </text>
    </comment>
    <comment ref="S4" authorId="2" shapeId="0" xr:uid="{68F25109-FEBD-4644-893C-E53E9E4B519C}">
      <text>
        <t>[Threaded comment]
Your version of Excel allows you to read this threaded comment; however, any edits to it will get removed if the file is opened in a newer version of Excel. Learn more: https://go.microsoft.com/fwlink/?linkid=870924
Comment:
    3. Month-wise total revenue calculate kijiye.</t>
      </text>
    </comment>
    <comment ref="S5" authorId="3" shapeId="0" xr:uid="{878A1733-9D05-40DF-89D8-29D677089DBF}">
      <text>
        <t>[Threaded comment]
Your version of Excel allows you to read this threaded comment; however, any edits to it will get removed if the file is opened in a newer version of Excel. Learn more: https://go.microsoft.com/fwlink/?linkid=870924
Comment:
    4. Department-wise total expense nikaliye.</t>
      </text>
    </comment>
    <comment ref="S6" authorId="4" shapeId="0" xr:uid="{8B4CDB8D-40F3-499F-81E4-3ECF5C5FD4AE}">
      <text>
        <t>[Threaded comment]
Your version of Excel allows you to read this threaded comment; however, any edits to it will get removed if the file is opened in a newer version of Excel. Learn more: https://go.microsoft.com/fwlink/?linkid=870924
Comment:
    5. Sabse zyada expense kis category mein hua hai?</t>
      </text>
    </comment>
    <comment ref="S7" authorId="5" shapeId="0" xr:uid="{CF29F873-55BF-4129-9339-0086E441746F}">
      <text>
        <t>[Threaded comment]
Your version of Excel allows you to read this threaded comment; however, any edits to it will get removed if the file is opened in a newer version of Excel. Learn more: https://go.microsoft.com/fwlink/?linkid=870924
Comment:
    6. Pending transactions ka total Amount aur count nikaliye.</t>
      </text>
    </comment>
    <comment ref="S8" authorId="6" shapeId="0" xr:uid="{C31EF3EE-B615-4604-830D-B1892E7444AE}">
      <text>
        <t>[Threaded comment]
Your version of Excel allows you to read this threaded comment; however, any edits to it will get removed if the file is opened in a newer version of Excel. Learn more: https://go.microsoft.com/fwlink/?linkid=870924
Comment:
    7. Region-wise revenue vs expense summary banaiye.</t>
      </text>
    </comment>
    <comment ref="S9" authorId="7" shapeId="0" xr:uid="{4374F1B2-9A0B-4239-805F-35A6F94C1861}">
      <text>
        <t>[Threaded comment]
Your version of Excel allows you to read this threaded comment; however, any edits to it will get removed if the file is opened in a newer version of Excel. Learn more: https://go.microsoft.com/fwlink/?linkid=870924
Comment:
    8. Average transaction amount by payment method nikaliye.</t>
      </text>
    </comment>
    <comment ref="S10" authorId="8" shapeId="0" xr:uid="{549BEDCD-440A-4111-B01D-AF5298970162}">
      <text>
        <t>[Threaded comment]
Your version of Excel allows you to read this threaded comment; however, any edits to it will get removed if the file is opened in a newer version of Excel. Learn more: https://go.microsoft.com/fwlink/?linkid=870924
Comment:
    9. Top 5 highest expense transactions identify kijiye.</t>
      </text>
    </comment>
    <comment ref="S11" authorId="9" shapeId="0" xr:uid="{3AA0EDB3-11DA-450C-B9F9-A1810FB3CDCD}">
      <text>
        <t>[Threaded comment]
Your version of Excel allows you to read this threaded comment; however, any edits to it will get removed if the file is opened in a newer version of Excel. Learn more: https://go.microsoft.com/fwlink/?linkid=870924
Comment:
    10. Tax Amount ka grand total nikaliye.</t>
      </text>
    </comment>
    <comment ref="S12" authorId="10" shapeId="0" xr:uid="{8A0A03C0-1020-4E8A-9EA9-6F6E54109564}">
      <text>
        <t>[Threaded comment]
Your version of Excel allows you to read this threaded comment; however, any edits to it will get removed if the file is opened in a newer version of Excel. Learn more: https://go.microsoft.com/fwlink/?linkid=870924
Comment:
    11. High priority transactions ka total value kitna hai?</t>
      </text>
    </comment>
    <comment ref="S13" authorId="11" shapeId="0" xr:uid="{102F06A3-AAD1-466D-9196-A7F47B508F6E}">
      <text>
        <t>[Threaded comment]
Your version of Excel allows you to read this threaded comment; however, any edits to it will get removed if the file is opened in a newer version of Excel. Learn more: https://go.microsoft.com/fwlink/?linkid=870924
Comment:
    12. Kaunse vendors/clients ke saath sabse zyada transactions hue hain?</t>
      </text>
    </comment>
    <comment ref="S14" authorId="12" shapeId="0" xr:uid="{9D0C39D8-CBD4-4BD4-9447-8534890E1624}">
      <text>
        <t>[Threaded comment]
Your version of Excel allows you to read this threaded comment; however, any edits to it will get removed if the file is opened in a newer version of Excel. Learn more: https://go.microsoft.com/fwlink/?linkid=870924
Comment:
    13. Expense transactions me Credit Card spending kitni hui hai?</t>
      </text>
    </comment>
    <comment ref="S15" authorId="13" shapeId="0" xr:uid="{7088CBC4-2972-4850-AD94-58B77F873454}">
      <text>
        <t>[Threaded comment]
Your version of Excel allows you to read this threaded comment; however, any edits to it will get removed if the file is opened in a newer version of Excel. Learn more: https://go.microsoft.com/fwlink/?linkid=870924
Comment:
    14. Cleared vs Pending ka comparison chart banaiye.</t>
      </text>
    </comment>
    <comment ref="S16" authorId="14" shapeId="0" xr:uid="{92E78318-72FC-452E-9C23-EB5A3307EBE7}">
      <text>
        <t>[Threaded comment]
Your version of Excel allows you to read this threaded comment; however, any edits to it will get removed if the file is opened in a newer version of Excel. Learn more: https://go.microsoft.com/fwlink/?linkid=870924
Comment:
    15. Aisa pivot banaiye jisme rows me Department, columns me Month, values me Amount ka sum ho.</t>
      </text>
    </comment>
    <comment ref="S17" authorId="15" shapeId="0" xr:uid="{21400C31-22F8-4F7C-853F-6133F876AEFA}">
      <text>
        <t>[Threaded comment]
Your version of Excel allows you to read this threaded comment; however, any edits to it will get removed if the file is opened in a newer version of Excel. Learn more: https://go.microsoft.com/fwlink/?linkid=870924
Comment:
    16. Income transactions ka average tax percentage nikaliye.</t>
      </text>
    </comment>
    <comment ref="S18" authorId="16" shapeId="0" xr:uid="{8EB3C2A2-AEF7-4079-9896-7A8BA48A4832}">
      <text>
        <t>[Threaded comment]
Your version of Excel allows you to read this threaded comment; however, any edits to it will get removed if the file is opened in a newer version of Excel. Learn more: https://go.microsoft.com/fwlink/?linkid=870924
Comment:
    17. Net Amount ke hisaab se top 3 largest transactions kaunse hain?</t>
      </text>
    </comment>
    <comment ref="S19" authorId="17" shapeId="0" xr:uid="{8189484A-A12A-48F1-9C11-E84B619E7BC3}">
      <text>
        <t>[Threaded comment]
Your version of Excel allows you to read this threaded comment; however, any edits to it will get removed if the file is opened in a newer version of Excel. Learn more: https://go.microsoft.com/fwlink/?linkid=870924
Comment:
    18. March month me total expense aur total income compare kijiye.</t>
      </text>
    </comment>
    <comment ref="S20" authorId="18" shapeId="0" xr:uid="{FFF37386-9ADD-4952-A175-0DE242DAABC2}">
      <text>
        <t>[Threaded comment]
Your version of Excel allows you to read this threaded comment; however, any edits to it will get removed if the file is opened in a newer version of Excel. Learn more: https://go.microsoft.com/fwlink/?linkid=870924
Comment:
    19. Agar 10% cost reduction marketing expenses par apply ho, to savings kitni hogi?</t>
      </text>
    </comment>
    <comment ref="S21" authorId="19" shapeId="0" xr:uid="{707966B0-A0EF-4DB1-A37C-FA72470C7460}">
      <text>
        <t>[Threaded comment]
Your version of Excel allows you to read this threaded comment; however, any edits to it will get removed if the file is opened in a newer version of Excel. Learn more: https://go.microsoft.com/fwlink/?linkid=870924
Comment:
    20. Ek dashboard-ready KPI block banaiye: Total Revenue, Total Expense, Pending Amount, Tax Total.</t>
      </text>
    </comment>
  </commentList>
</comments>
</file>

<file path=xl/sharedStrings.xml><?xml version="1.0" encoding="utf-8"?>
<sst xmlns="http://schemas.openxmlformats.org/spreadsheetml/2006/main" count="3464" uniqueCount="448">
  <si>
    <t>Txn ID</t>
  </si>
  <si>
    <t>Date</t>
  </si>
  <si>
    <t>Month</t>
  </si>
  <si>
    <t>Department</t>
  </si>
  <si>
    <t>Account</t>
  </si>
  <si>
    <t>Category</t>
  </si>
  <si>
    <t>Description</t>
  </si>
  <si>
    <t>Vendor/Client</t>
  </si>
  <si>
    <t>Type</t>
  </si>
  <si>
    <t>Payment Method</t>
  </si>
  <si>
    <t>Amount</t>
  </si>
  <si>
    <t>Tax %</t>
  </si>
  <si>
    <t>Tax Amount</t>
  </si>
  <si>
    <t>Net Amount</t>
  </si>
  <si>
    <t>Status</t>
  </si>
  <si>
    <t>Region</t>
  </si>
  <si>
    <t>Priority</t>
  </si>
  <si>
    <t>TXN-1001</t>
  </si>
  <si>
    <t>Jan</t>
  </si>
  <si>
    <t>Sales</t>
  </si>
  <si>
    <t>Revenue</t>
  </si>
  <si>
    <t>Enterprise software license</t>
  </si>
  <si>
    <t>Apex Technologies</t>
  </si>
  <si>
    <t>Income</t>
  </si>
  <si>
    <t>Bank Transfer</t>
  </si>
  <si>
    <t>Cleared</t>
  </si>
  <si>
    <t>North</t>
  </si>
  <si>
    <t>High</t>
  </si>
  <si>
    <t>TXN-1002</t>
  </si>
  <si>
    <t>Marketing</t>
  </si>
  <si>
    <t>Advertising</t>
  </si>
  <si>
    <t>Digital ad campaign</t>
  </si>
  <si>
    <t>Bright Media</t>
  </si>
  <si>
    <t>Expense</t>
  </si>
  <si>
    <t>Credit Card</t>
  </si>
  <si>
    <t>West</t>
  </si>
  <si>
    <t>Medium</t>
  </si>
  <si>
    <t>TXN-1003</t>
  </si>
  <si>
    <t>Operations</t>
  </si>
  <si>
    <t>Office Rent</t>
  </si>
  <si>
    <t>Monthly office rent</t>
  </si>
  <si>
    <t>Urban Spaces</t>
  </si>
  <si>
    <t>South</t>
  </si>
  <si>
    <t>TXN-1004</t>
  </si>
  <si>
    <t>HR</t>
  </si>
  <si>
    <t>Salaries</t>
  </si>
  <si>
    <t>Contract recruiter payout</t>
  </si>
  <si>
    <t>Talent Hunt</t>
  </si>
  <si>
    <t>Pending</t>
  </si>
  <si>
    <t>TXN-1005</t>
  </si>
  <si>
    <t>Finance</t>
  </si>
  <si>
    <t>Consulting</t>
  </si>
  <si>
    <t>Quarterly tax advisory</t>
  </si>
  <si>
    <t>FinEdge Advisors</t>
  </si>
  <si>
    <t>East</t>
  </si>
  <si>
    <t>TXN-1006</t>
  </si>
  <si>
    <t>Implementation services</t>
  </si>
  <si>
    <t>Nimbus Retail</t>
  </si>
  <si>
    <t>UPI</t>
  </si>
  <si>
    <t>TXN-1007</t>
  </si>
  <si>
    <t>IT</t>
  </si>
  <si>
    <t>Software</t>
  </si>
  <si>
    <t>CRM annual subscription</t>
  </si>
  <si>
    <t>CloudStack</t>
  </si>
  <si>
    <t>TXN-1008</t>
  </si>
  <si>
    <t>Utilities</t>
  </si>
  <si>
    <t>Electricity bill</t>
  </si>
  <si>
    <t>City Power</t>
  </si>
  <si>
    <t>Low</t>
  </si>
  <si>
    <t>TXN-1009</t>
  </si>
  <si>
    <t>Events</t>
  </si>
  <si>
    <t>Trade expo booth booking</t>
  </si>
  <si>
    <t>Expo World</t>
  </si>
  <si>
    <t>TXN-1010</t>
  </si>
  <si>
    <t>Interest Income</t>
  </si>
  <si>
    <t>Fixed deposit interest</t>
  </si>
  <si>
    <t>National Bank</t>
  </si>
  <si>
    <t>TXN-1011</t>
  </si>
  <si>
    <t>Feb</t>
  </si>
  <si>
    <t>Renewal subscription</t>
  </si>
  <si>
    <t>Vertex Systems</t>
  </si>
  <si>
    <t>TXN-1012</t>
  </si>
  <si>
    <t>Training</t>
  </si>
  <si>
    <t>Leadership workshop</t>
  </si>
  <si>
    <t>SkillForge</t>
  </si>
  <si>
    <t>TXN-1013</t>
  </si>
  <si>
    <t>TXN-1014</t>
  </si>
  <si>
    <t>Hardware</t>
  </si>
  <si>
    <t>Laptops for new hires</t>
  </si>
  <si>
    <t>Tech Bazaar</t>
  </si>
  <si>
    <t>TXN-1015</t>
  </si>
  <si>
    <t>TXN-1016</t>
  </si>
  <si>
    <t>Support retainer</t>
  </si>
  <si>
    <t>BluePeak Logistics</t>
  </si>
  <si>
    <t>TXN-1017</t>
  </si>
  <si>
    <t>Audit Fees</t>
  </si>
  <si>
    <t>Internal audit review</t>
  </si>
  <si>
    <t>Assure Partners</t>
  </si>
  <si>
    <t>TXN-1018</t>
  </si>
  <si>
    <t>Travel</t>
  </si>
  <si>
    <t>Client site visit travel</t>
  </si>
  <si>
    <t>SkyWays Travel</t>
  </si>
  <si>
    <t>TXN-1019</t>
  </si>
  <si>
    <t>TXN-1020</t>
  </si>
  <si>
    <t>Other Income</t>
  </si>
  <si>
    <t>Foreign exchange gain</t>
  </si>
  <si>
    <t>Global Bank</t>
  </si>
  <si>
    <t>TXN-1021</t>
  </si>
  <si>
    <t>Mar</t>
  </si>
  <si>
    <t>Implementation milestone billing</t>
  </si>
  <si>
    <t>Orbit Telecom</t>
  </si>
  <si>
    <t>TXN-1022</t>
  </si>
  <si>
    <t>Content</t>
  </si>
  <si>
    <t>Video production charges</t>
  </si>
  <si>
    <t>Studio Nine</t>
  </si>
  <si>
    <t>TXN-1023</t>
  </si>
  <si>
    <t>TXN-1024</t>
  </si>
  <si>
    <t>Cybersecurity license</t>
  </si>
  <si>
    <t>SecureWare</t>
  </si>
  <si>
    <t>TXN-1025</t>
  </si>
  <si>
    <t>Recruitment</t>
  </si>
  <si>
    <t>Job portal annual plan</t>
  </si>
  <si>
    <t>HireFast</t>
  </si>
  <si>
    <t>TXN-1026</t>
  </si>
  <si>
    <t>Legal Fees</t>
  </si>
  <si>
    <t>Contract review charges</t>
  </si>
  <si>
    <t>Lex &amp; Co</t>
  </si>
  <si>
    <t>TXN-1027</t>
  </si>
  <si>
    <t>Annual platform subscription</t>
  </si>
  <si>
    <t>Zenith Health</t>
  </si>
  <si>
    <t>TXN-1028</t>
  </si>
  <si>
    <t>Maintenance</t>
  </si>
  <si>
    <t>Office maintenance contract</t>
  </si>
  <si>
    <t>FixRight Services</t>
  </si>
  <si>
    <t>TXN-1029</t>
  </si>
  <si>
    <t>PR</t>
  </si>
  <si>
    <t>Public relations retainer</t>
  </si>
  <si>
    <t>Brand Voice</t>
  </si>
  <si>
    <t>TXN-1030</t>
  </si>
  <si>
    <t>TXN-1031</t>
  </si>
  <si>
    <t>TXN-1032</t>
  </si>
  <si>
    <t>TXN-1033</t>
  </si>
  <si>
    <t>TXN-1034</t>
  </si>
  <si>
    <t>TXN-1035</t>
  </si>
  <si>
    <t>TXN-1036</t>
  </si>
  <si>
    <t>TXN-1037</t>
  </si>
  <si>
    <t>TXN-1038</t>
  </si>
  <si>
    <t>TXN-1039</t>
  </si>
  <si>
    <t>TXN-1040</t>
  </si>
  <si>
    <t>TXN-1041</t>
  </si>
  <si>
    <t>TXN-1042</t>
  </si>
  <si>
    <t>TXN-1043</t>
  </si>
  <si>
    <t>TXN-1044</t>
  </si>
  <si>
    <t>TXN-1045</t>
  </si>
  <si>
    <t>TXN-1046</t>
  </si>
  <si>
    <t>TXN-1047</t>
  </si>
  <si>
    <t>TXN-1048</t>
  </si>
  <si>
    <t>TXN-1049</t>
  </si>
  <si>
    <t>TXN-1050</t>
  </si>
  <si>
    <t>TXN-1051</t>
  </si>
  <si>
    <t>TXN-1052</t>
  </si>
  <si>
    <t>TXN-1053</t>
  </si>
  <si>
    <t>TXN-1054</t>
  </si>
  <si>
    <t>TXN-1055</t>
  </si>
  <si>
    <t>TXN-1056</t>
  </si>
  <si>
    <t>TXN-1057</t>
  </si>
  <si>
    <t>TXN-1058</t>
  </si>
  <si>
    <t>TXN-1059</t>
  </si>
  <si>
    <t>TXN-1060</t>
  </si>
  <si>
    <t>TXN-1061</t>
  </si>
  <si>
    <t>TXN-1062</t>
  </si>
  <si>
    <t>TXN-1063</t>
  </si>
  <si>
    <t>TXN-1064</t>
  </si>
  <si>
    <t>TXN-1065</t>
  </si>
  <si>
    <t>TXN-1066</t>
  </si>
  <si>
    <t>TXN-1067</t>
  </si>
  <si>
    <t>TXN-1068</t>
  </si>
  <si>
    <t>TXN-1069</t>
  </si>
  <si>
    <t>TXN-1070</t>
  </si>
  <si>
    <t>TXN-1071</t>
  </si>
  <si>
    <t>TXN-1072</t>
  </si>
  <si>
    <t>TXN-1073</t>
  </si>
  <si>
    <t>TXN-1074</t>
  </si>
  <si>
    <t>TXN-1075</t>
  </si>
  <si>
    <t>TXN-1076</t>
  </si>
  <si>
    <t>TXN-1077</t>
  </si>
  <si>
    <t>TXN-1078</t>
  </si>
  <si>
    <t>TXN-1079</t>
  </si>
  <si>
    <t>TXN-1080</t>
  </si>
  <si>
    <t>TXN-1081</t>
  </si>
  <si>
    <t>TXN-1082</t>
  </si>
  <si>
    <t>TXN-1083</t>
  </si>
  <si>
    <t>TXN-1084</t>
  </si>
  <si>
    <t>TXN-1085</t>
  </si>
  <si>
    <t>TXN-1086</t>
  </si>
  <si>
    <t>TXN-1087</t>
  </si>
  <si>
    <t>TXN-1088</t>
  </si>
  <si>
    <t>TXN-1089</t>
  </si>
  <si>
    <t>TXN-1090</t>
  </si>
  <si>
    <t>TXN-1091</t>
  </si>
  <si>
    <t>Apr</t>
  </si>
  <si>
    <t>TXN-1092</t>
  </si>
  <si>
    <t>TXN-1093</t>
  </si>
  <si>
    <t>TXN-1094</t>
  </si>
  <si>
    <t>TXN-1095</t>
  </si>
  <si>
    <t>TXN-1096</t>
  </si>
  <si>
    <t>TXN-1097</t>
  </si>
  <si>
    <t>TXN-1098</t>
  </si>
  <si>
    <t>TXN-1099</t>
  </si>
  <si>
    <t>TXN-1100</t>
  </si>
  <si>
    <t>TXN-1101</t>
  </si>
  <si>
    <t>TXN-1102</t>
  </si>
  <si>
    <t>TXN-1103</t>
  </si>
  <si>
    <t>TXN-1104</t>
  </si>
  <si>
    <t>TXN-1105</t>
  </si>
  <si>
    <t>TXN-1106</t>
  </si>
  <si>
    <t>TXN-1107</t>
  </si>
  <si>
    <t>TXN-1108</t>
  </si>
  <si>
    <t>TXN-1109</t>
  </si>
  <si>
    <t>TXN-1110</t>
  </si>
  <si>
    <t>TXN-1111</t>
  </si>
  <si>
    <t>TXN-1112</t>
  </si>
  <si>
    <t>TXN-1113</t>
  </si>
  <si>
    <t>TXN-1114</t>
  </si>
  <si>
    <t>TXN-1115</t>
  </si>
  <si>
    <t>TXN-1116</t>
  </si>
  <si>
    <t>TXN-1117</t>
  </si>
  <si>
    <t>TXN-1118</t>
  </si>
  <si>
    <t>TXN-1119</t>
  </si>
  <si>
    <t>TXN-1120</t>
  </si>
  <si>
    <t>TXN-1121</t>
  </si>
  <si>
    <t>May</t>
  </si>
  <si>
    <t>TXN-1122</t>
  </si>
  <si>
    <t>TXN-1123</t>
  </si>
  <si>
    <t>TXN-1124</t>
  </si>
  <si>
    <t>TXN-1125</t>
  </si>
  <si>
    <t>TXN-1126</t>
  </si>
  <si>
    <t>TXN-1127</t>
  </si>
  <si>
    <t>TXN-1128</t>
  </si>
  <si>
    <t>TXN-1129</t>
  </si>
  <si>
    <t>TXN-1130</t>
  </si>
  <si>
    <t>TXN-1131</t>
  </si>
  <si>
    <t>TXN-1132</t>
  </si>
  <si>
    <t>TXN-1133</t>
  </si>
  <si>
    <t>TXN-1134</t>
  </si>
  <si>
    <t>TXN-1135</t>
  </si>
  <si>
    <t>TXN-1136</t>
  </si>
  <si>
    <t>TXN-1137</t>
  </si>
  <si>
    <t>TXN-1138</t>
  </si>
  <si>
    <t>TXN-1139</t>
  </si>
  <si>
    <t>TXN-1140</t>
  </si>
  <si>
    <t>TXN-1141</t>
  </si>
  <si>
    <t>TXN-1142</t>
  </si>
  <si>
    <t>TXN-1143</t>
  </si>
  <si>
    <t>TXN-1144</t>
  </si>
  <si>
    <t>TXN-1145</t>
  </si>
  <si>
    <t>TXN-1146</t>
  </si>
  <si>
    <t>TXN-1147</t>
  </si>
  <si>
    <t>TXN-1148</t>
  </si>
  <si>
    <t>TXN-1149</t>
  </si>
  <si>
    <t>TXN-1150</t>
  </si>
  <si>
    <t>TXN-1151</t>
  </si>
  <si>
    <t>TXN-1152</t>
  </si>
  <si>
    <t>Jun</t>
  </si>
  <si>
    <t>TXN-1153</t>
  </si>
  <si>
    <t>TXN-1154</t>
  </si>
  <si>
    <t>TXN-1155</t>
  </si>
  <si>
    <t>TXN-1156</t>
  </si>
  <si>
    <t>TXN-1157</t>
  </si>
  <si>
    <t>TXN-1158</t>
  </si>
  <si>
    <t>TXN-1159</t>
  </si>
  <si>
    <t>TXN-1160</t>
  </si>
  <si>
    <t>TXN-1161</t>
  </si>
  <si>
    <t>TXN-1162</t>
  </si>
  <si>
    <t>TXN-1163</t>
  </si>
  <si>
    <t>TXN-1164</t>
  </si>
  <si>
    <t>TXN-1165</t>
  </si>
  <si>
    <t>TXN-1166</t>
  </si>
  <si>
    <t>TXN-1167</t>
  </si>
  <si>
    <t>TXN-1168</t>
  </si>
  <si>
    <t>TXN-1169</t>
  </si>
  <si>
    <t>TXN-1170</t>
  </si>
  <si>
    <t>TXN-1171</t>
  </si>
  <si>
    <t>TXN-1172</t>
  </si>
  <si>
    <t>TXN-1173</t>
  </si>
  <si>
    <t>TXN-1174</t>
  </si>
  <si>
    <t>TXN-1175</t>
  </si>
  <si>
    <t>TXN-1176</t>
  </si>
  <si>
    <t>TXN-1177</t>
  </si>
  <si>
    <t>TXN-1178</t>
  </si>
  <si>
    <t>TXN-1179</t>
  </si>
  <si>
    <t>TXN-1180</t>
  </si>
  <si>
    <t>TXN-1181</t>
  </si>
  <si>
    <t>TXN-1182</t>
  </si>
  <si>
    <t>Jul</t>
  </si>
  <si>
    <t>TXN-1183</t>
  </si>
  <si>
    <t>TXN-1184</t>
  </si>
  <si>
    <t>TXN-1185</t>
  </si>
  <si>
    <t>TXN-1186</t>
  </si>
  <si>
    <t>TXN-1187</t>
  </si>
  <si>
    <t>TXN-1188</t>
  </si>
  <si>
    <t>TXN-1189</t>
  </si>
  <si>
    <t>TXN-1190</t>
  </si>
  <si>
    <t>TXN-1191</t>
  </si>
  <si>
    <t>TXN-1192</t>
  </si>
  <si>
    <t>TXN-1193</t>
  </si>
  <si>
    <t>TXN-1194</t>
  </si>
  <si>
    <t>TXN-1195</t>
  </si>
  <si>
    <t>TXN-1196</t>
  </si>
  <si>
    <t>TXN-1197</t>
  </si>
  <si>
    <t>TXN-1198</t>
  </si>
  <si>
    <t>TXN-1199</t>
  </si>
  <si>
    <t>TXN-1200</t>
  </si>
  <si>
    <t>TXN-1201</t>
  </si>
  <si>
    <t>TXN-1202</t>
  </si>
  <si>
    <t>TXN-1203</t>
  </si>
  <si>
    <t>TXN-1204</t>
  </si>
  <si>
    <t>TXN-1205</t>
  </si>
  <si>
    <t>TXN-1206</t>
  </si>
  <si>
    <t>TXN-1207</t>
  </si>
  <si>
    <t>TXN-1208</t>
  </si>
  <si>
    <t>TXN-1209</t>
  </si>
  <si>
    <t>TXN-1210</t>
  </si>
  <si>
    <t>TXN-1211</t>
  </si>
  <si>
    <t>TXN-1212</t>
  </si>
  <si>
    <t>TXN-1213</t>
  </si>
  <si>
    <t>Aug</t>
  </si>
  <si>
    <t>TXN-1214</t>
  </si>
  <si>
    <t>TXN-1215</t>
  </si>
  <si>
    <t>TXN-1216</t>
  </si>
  <si>
    <t>TXN-1217</t>
  </si>
  <si>
    <t>TXN-1218</t>
  </si>
  <si>
    <t>TXN-1219</t>
  </si>
  <si>
    <t>TXN-1220</t>
  </si>
  <si>
    <t>TXN-1221</t>
  </si>
  <si>
    <t>TXN-1222</t>
  </si>
  <si>
    <t>TXN-1223</t>
  </si>
  <si>
    <t>TXN-1224</t>
  </si>
  <si>
    <t>TXN-1225</t>
  </si>
  <si>
    <t>TXN-1226</t>
  </si>
  <si>
    <t>TXN-1227</t>
  </si>
  <si>
    <t>TXN-1228</t>
  </si>
  <si>
    <t>TXN-1229</t>
  </si>
  <si>
    <t>TXN-1230</t>
  </si>
  <si>
    <t>TXN-1231</t>
  </si>
  <si>
    <t>TXN-1232</t>
  </si>
  <si>
    <t>TXN-1233</t>
  </si>
  <si>
    <t>TXN-1234</t>
  </si>
  <si>
    <t>TXN-1235</t>
  </si>
  <si>
    <t>TXN-1236</t>
  </si>
  <si>
    <t>TXN-1237</t>
  </si>
  <si>
    <t>TXN-1238</t>
  </si>
  <si>
    <t>TXN-1239</t>
  </si>
  <si>
    <t>TXN-1240</t>
  </si>
  <si>
    <t>TXN-1241</t>
  </si>
  <si>
    <t>TXN-1242</t>
  </si>
  <si>
    <t>TXN-1243</t>
  </si>
  <si>
    <t>TXN-1244</t>
  </si>
  <si>
    <t>Sep</t>
  </si>
  <si>
    <t>TXN-1245</t>
  </si>
  <si>
    <t>TXN-1246</t>
  </si>
  <si>
    <t>TXN-1247</t>
  </si>
  <si>
    <t>TXN-1248</t>
  </si>
  <si>
    <t>TXN-1249</t>
  </si>
  <si>
    <t>TXN-1250</t>
  </si>
  <si>
    <t>TXN-1251</t>
  </si>
  <si>
    <t>TXN-1252</t>
  </si>
  <si>
    <t>TXN-1253</t>
  </si>
  <si>
    <t>TXN-1254</t>
  </si>
  <si>
    <t>TXN-1255</t>
  </si>
  <si>
    <t>TXN-1256</t>
  </si>
  <si>
    <t>TXN-1257</t>
  </si>
  <si>
    <t>TXN-1258</t>
  </si>
  <si>
    <t>TXN-1259</t>
  </si>
  <si>
    <t>TXN-1260</t>
  </si>
  <si>
    <t>TXN-1261</t>
  </si>
  <si>
    <t>TXN-1262</t>
  </si>
  <si>
    <t>TXN-1263</t>
  </si>
  <si>
    <t>TXN-1264</t>
  </si>
  <si>
    <t>TXN-1265</t>
  </si>
  <si>
    <t>TXN-1266</t>
  </si>
  <si>
    <t>TXN-1267</t>
  </si>
  <si>
    <t>TXN-1268</t>
  </si>
  <si>
    <t>TXN-1269</t>
  </si>
  <si>
    <t>TXN-1270</t>
  </si>
  <si>
    <t>TXN-1271</t>
  </si>
  <si>
    <t>TXN-1272</t>
  </si>
  <si>
    <t>TXN-1273</t>
  </si>
  <si>
    <t>TXN-1274</t>
  </si>
  <si>
    <t>Oct</t>
  </si>
  <si>
    <t>TXN-1275</t>
  </si>
  <si>
    <t>TXN-1276</t>
  </si>
  <si>
    <t>TXN-1277</t>
  </si>
  <si>
    <t>TXN-1278</t>
  </si>
  <si>
    <t>TXN-1279</t>
  </si>
  <si>
    <t>TXN-1280</t>
  </si>
  <si>
    <t>TXN-1281</t>
  </si>
  <si>
    <t>TXN-1282</t>
  </si>
  <si>
    <t>TXN-1283</t>
  </si>
  <si>
    <t>TXN-1284</t>
  </si>
  <si>
    <t>TXN-1285</t>
  </si>
  <si>
    <t>TXN-1286</t>
  </si>
  <si>
    <t>TXN-1287</t>
  </si>
  <si>
    <t>TXN-1288</t>
  </si>
  <si>
    <t>TXN-1289</t>
  </si>
  <si>
    <t>TXN-1290</t>
  </si>
  <si>
    <t>TXN-1291</t>
  </si>
  <si>
    <t>TXN-1292</t>
  </si>
  <si>
    <t>TXN-1293</t>
  </si>
  <si>
    <t>TXN-1294</t>
  </si>
  <si>
    <t>TXN-1295</t>
  </si>
  <si>
    <t>TXN-1296</t>
  </si>
  <si>
    <t>TXN-1297</t>
  </si>
  <si>
    <t>TXN-1298</t>
  </si>
  <si>
    <t>TXN-1299</t>
  </si>
  <si>
    <t>TXN-1300</t>
  </si>
  <si>
    <t>Q1</t>
  </si>
  <si>
    <t>Q2</t>
  </si>
  <si>
    <t>Q3</t>
  </si>
  <si>
    <t>Q4</t>
  </si>
  <si>
    <t>Q5</t>
  </si>
  <si>
    <t>Q6</t>
  </si>
  <si>
    <t>Q7</t>
  </si>
  <si>
    <t>Q8</t>
  </si>
  <si>
    <t>Q9</t>
  </si>
  <si>
    <t>Q10</t>
  </si>
  <si>
    <t>Q11</t>
  </si>
  <si>
    <t>Q12</t>
  </si>
  <si>
    <t>Q13</t>
  </si>
  <si>
    <t>Q14</t>
  </si>
  <si>
    <t>Q15</t>
  </si>
  <si>
    <t>Q16</t>
  </si>
  <si>
    <t>Q17</t>
  </si>
  <si>
    <t>Q18</t>
  </si>
  <si>
    <t>Q19</t>
  </si>
  <si>
    <t>Q20</t>
  </si>
  <si>
    <t>Practice Questions (hover cells below)</t>
  </si>
  <si>
    <t>Row Labels</t>
  </si>
  <si>
    <t>Sum of Net Amount</t>
  </si>
  <si>
    <t>Count of Department</t>
  </si>
  <si>
    <t>Column Labels</t>
  </si>
  <si>
    <t>Count of Type</t>
  </si>
  <si>
    <t>Count of Payment Method</t>
  </si>
  <si>
    <t>Count of Status</t>
  </si>
  <si>
    <t>Count of Vendor/Client</t>
  </si>
  <si>
    <t>Grand Total</t>
  </si>
  <si>
    <t>Count of Region</t>
  </si>
  <si>
    <t>Sum of Tax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</si>
</sst>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dd/mmm/yyyy"/>
  </numFmts>
  <fonts count="3" x14ac:knownFonts="1">
    <font>
      <sz val="11"/>
      <color theme="1"/>
      <name val="Calibri"/>
      <family val="2"/>
      <scheme val="minor"/>
    </font>
    <font>
      <b/>
      <sz val="11"/>
      <color rgb="FFFFFFFF"/>
      <name val="Calibri"/>
      <family val="2"/>
      <scheme val="minor"/>
    </font>
    <font>
      <sz val="11"/>
      <color rgb="FF3F2A56"/>
      <name val="Calibri"/>
      <family val="2"/>
      <scheme val="minor"/>
    </font>
  </fonts>
  <fills count="6">
    <fill>
      <patternFill patternType="none"/>
    </fill>
    <fill>
      <patternFill patternType="gray125"/>
    </fill>
    <fill>
      <patternFill patternType="solid">
        <fgColor rgb="FF1F4E78"/>
        <bgColor indexed="64"/>
      </patternFill>
    </fill>
    <fill>
      <patternFill patternType="solid">
        <fgColor rgb="FFF8FBFF"/>
        <bgColor indexed="64"/>
      </patternFill>
    </fill>
    <fill>
      <patternFill patternType="solid">
        <fgColor rgb="FF7030A0"/>
        <bgColor indexed="64"/>
      </patternFill>
    </fill>
    <fill>
      <patternFill patternType="solid">
        <fgColor rgb="FFF7F1FF"/>
        <bgColor indexed="64"/>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xf numFmtId="0" fontId="0" fillId="3" borderId="0" xfId="0" applyFill="1"/>
    <xf numFmtId="164" fontId="0" fillId="3" borderId="0" xfId="0" applyNumberFormat="1" applyFill="1"/>
    <xf numFmtId="10" fontId="0" fillId="3" borderId="0" xfId="0" applyNumberFormat="1" applyFill="1"/>
    <xf numFmtId="165" fontId="0" fillId="3" borderId="0" xfId="0" applyNumberFormat="1" applyFill="1"/>
    <xf numFmtId="0" fontId="1" fillId="4" borderId="0" xfId="0" applyFont="1" applyFill="1"/>
    <xf numFmtId="0" fontId="2" fillId="5" borderId="0" xfId="0" applyFont="1" applyFill="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cellXfs>
  <cellStyles count="1">
    <cellStyle name="Normal" xfId="0" builtinId="0"/>
  </cellStyles>
  <dxfs count="19">
    <dxf>
      <fill>
        <patternFill patternType="solid">
          <fgColor indexed="64"/>
          <bgColor rgb="FFF8FBFF"/>
        </patternFill>
      </fill>
    </dxf>
    <dxf>
      <fill>
        <patternFill patternType="solid">
          <fgColor indexed="64"/>
          <bgColor rgb="FFF8FBFF"/>
        </patternFill>
      </fill>
    </dxf>
    <dxf>
      <fill>
        <patternFill patternType="solid">
          <fgColor indexed="64"/>
          <bgColor rgb="FFF8FBFF"/>
        </patternFill>
      </fill>
    </dxf>
    <dxf>
      <numFmt numFmtId="164" formatCode="\₹#,##0.00"/>
      <fill>
        <patternFill patternType="solid">
          <fgColor indexed="64"/>
          <bgColor rgb="FFF8FBFF"/>
        </patternFill>
      </fill>
    </dxf>
    <dxf>
      <numFmt numFmtId="164" formatCode="\₹#,##0.00"/>
      <fill>
        <patternFill patternType="solid">
          <fgColor indexed="64"/>
          <bgColor rgb="FFF8FBFF"/>
        </patternFill>
      </fill>
    </dxf>
    <dxf>
      <numFmt numFmtId="14" formatCode="0.00%"/>
      <fill>
        <patternFill patternType="solid">
          <fgColor indexed="64"/>
          <bgColor rgb="FFF8FBFF"/>
        </patternFill>
      </fill>
    </dxf>
    <dxf>
      <numFmt numFmtId="164" formatCode="\₹#,##0.00"/>
      <fill>
        <patternFill patternType="solid">
          <fgColor indexed="64"/>
          <bgColor rgb="FFF8FBFF"/>
        </patternFill>
      </fill>
    </dxf>
    <dxf>
      <fill>
        <patternFill patternType="solid">
          <fgColor indexed="64"/>
          <bgColor rgb="FFF8FBFF"/>
        </patternFill>
      </fill>
    </dxf>
    <dxf>
      <fill>
        <patternFill patternType="solid">
          <fgColor indexed="64"/>
          <bgColor rgb="FFF8FBFF"/>
        </patternFill>
      </fill>
    </dxf>
    <dxf>
      <fill>
        <patternFill patternType="solid">
          <fgColor indexed="64"/>
          <bgColor rgb="FFF8FBFF"/>
        </patternFill>
      </fill>
    </dxf>
    <dxf>
      <fill>
        <patternFill patternType="solid">
          <fgColor indexed="64"/>
          <bgColor rgb="FFF8FBFF"/>
        </patternFill>
      </fill>
    </dxf>
    <dxf>
      <fill>
        <patternFill patternType="solid">
          <fgColor indexed="64"/>
          <bgColor rgb="FFF8FBFF"/>
        </patternFill>
      </fill>
    </dxf>
    <dxf>
      <fill>
        <patternFill patternType="solid">
          <fgColor indexed="64"/>
          <bgColor rgb="FFF8FBFF"/>
        </patternFill>
      </fill>
    </dxf>
    <dxf>
      <fill>
        <patternFill patternType="solid">
          <fgColor indexed="64"/>
          <bgColor rgb="FFF8FBFF"/>
        </patternFill>
      </fill>
    </dxf>
    <dxf>
      <fill>
        <patternFill patternType="solid">
          <fgColor indexed="64"/>
          <bgColor rgb="FFF8FBFF"/>
        </patternFill>
      </fill>
    </dxf>
    <dxf>
      <numFmt numFmtId="165" formatCode="dd/mmm/yyyy"/>
      <fill>
        <patternFill patternType="solid">
          <fgColor indexed="64"/>
          <bgColor rgb="FFF8FBFF"/>
        </patternFill>
      </fill>
    </dxf>
    <dxf>
      <fill>
        <patternFill patternType="solid">
          <fgColor indexed="64"/>
          <bgColor rgb="FFF8FBFF"/>
        </patternFill>
      </fill>
    </dxf>
    <dxf>
      <fill>
        <patternFill patternType="solid">
          <fgColor indexed="64"/>
          <bgColor rgb="FFF8FBFF"/>
        </patternFill>
      </fill>
    </dxf>
    <dxf>
      <font>
        <b/>
        <i val="0"/>
        <strike val="0"/>
        <condense val="0"/>
        <extend val="0"/>
        <outline val="0"/>
        <shadow val="0"/>
        <u val="none"/>
        <vertAlign val="baseline"/>
        <sz val="11"/>
        <color rgb="FFFFFFFF"/>
        <name val="Calibri"/>
        <family val="2"/>
        <scheme val="minor"/>
      </font>
      <fill>
        <patternFill patternType="solid">
          <fgColor indexed="64"/>
          <bgColor rgb="FF1F4E7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microsoft.com/office/2007/relationships/slicerCache" Target="slicerCaches/slicerCache9.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5" Type="http://schemas.microsoft.com/office/2017/10/relationships/person" Target="persons/person.xml"/><Relationship Id="rId2" Type="http://schemas.openxmlformats.org/officeDocument/2006/relationships/worksheet" Target="worksheets/sheet2.xml"/><Relationship Id="rId16" Type="http://schemas.microsoft.com/office/2007/relationships/slicerCache" Target="slicerCaches/slicerCache4.xml"/><Relationship Id="rId20" Type="http://schemas.microsoft.com/office/2007/relationships/slicerCache" Target="slicerCaches/slicerCache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 Dataset 0006.xlsx]Month vs Department!PivotTable2</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a:t>
            </a:r>
            <a:r>
              <a:rPr lang="en-US" baseline="0"/>
              <a:t> vs Department</a:t>
            </a:r>
            <a:endParaRPr lang="en-US"/>
          </a:p>
        </c:rich>
      </c:tx>
      <c:layout>
        <c:manualLayout>
          <c:xMode val="edge"/>
          <c:yMode val="edge"/>
          <c:x val="1.9985939257592802E-2"/>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3.6972565929258842E-2"/>
          <c:y val="0.13250947798191892"/>
          <c:w val="0.72829240094988124"/>
          <c:h val="0.84967446777486144"/>
        </c:manualLayout>
      </c:layout>
      <c:pieChart>
        <c:varyColors val="1"/>
        <c:ser>
          <c:idx val="0"/>
          <c:order val="0"/>
          <c:tx>
            <c:strRef>
              <c:f>'Month vs Department'!$B$3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BDD-472E-B15B-DE12F9B88CA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BDD-472E-B15B-DE12F9B88CA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BDD-472E-B15B-DE12F9B88CA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BDD-472E-B15B-DE12F9B88CA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DBDD-472E-B15B-DE12F9B88CA3}"/>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DBDD-472E-B15B-DE12F9B88CA3}"/>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DBDD-472E-B15B-DE12F9B88CA3}"/>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DBDD-472E-B15B-DE12F9B88CA3}"/>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DBDD-472E-B15B-DE12F9B88CA3}"/>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DBDD-472E-B15B-DE12F9B88CA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'Month vs Department'!$A$4:$A$13</c:f>
              <c:strCache>
                <c:ptCount val="10"/>
                <c:pt idx="0">
                  <c:v>Jan</c:v>
                </c:pt>
                <c:pt idx="1">
                  <c:v>Feb</c:v>
                </c:pt>
                <c:pt idx="2">
                  <c:v>Mar</c:v>
                </c:pt>
                <c:pt idx="3">
                  <c:v>Apr</c:v>
                </c:pt>
                <c:pt idx="4">
                  <c:v>May</c:v>
                </c:pt>
                <c:pt idx="5">
                  <c:v>Jun</c:v>
                </c:pt>
                <c:pt idx="6">
                  <c:v>Jul</c:v>
                </c:pt>
                <c:pt idx="7">
                  <c:v>Aug</c:v>
                </c:pt>
                <c:pt idx="8">
                  <c:v>Sep</c:v>
                </c:pt>
                <c:pt idx="9">
                  <c:v>Oct</c:v>
                </c:pt>
              </c:strCache>
            </c:strRef>
          </c:cat>
          <c:val>
            <c:numRef>
              <c:f>'Month vs Department'!$B$4:$B$13</c:f>
              <c:numCache>
                <c:formatCode>General</c:formatCode>
                <c:ptCount val="10"/>
                <c:pt idx="0">
                  <c:v>31</c:v>
                </c:pt>
                <c:pt idx="1">
                  <c:v>28</c:v>
                </c:pt>
                <c:pt idx="2">
                  <c:v>31</c:v>
                </c:pt>
                <c:pt idx="3">
                  <c:v>30</c:v>
                </c:pt>
                <c:pt idx="4">
                  <c:v>31</c:v>
                </c:pt>
                <c:pt idx="5">
                  <c:v>30</c:v>
                </c:pt>
                <c:pt idx="6">
                  <c:v>31</c:v>
                </c:pt>
                <c:pt idx="7">
                  <c:v>31</c:v>
                </c:pt>
                <c:pt idx="8">
                  <c:v>30</c:v>
                </c:pt>
                <c:pt idx="9">
                  <c:v>27</c:v>
                </c:pt>
              </c:numCache>
            </c:numRef>
          </c:val>
          <c:extLst>
            <c:ext xmlns:c16="http://schemas.microsoft.com/office/drawing/2014/chart" uri="{C3380CC4-5D6E-409C-BE32-E72D297353CC}">
              <c16:uniqueId val="{00000014-DBDD-472E-B15B-DE12F9B88CA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80079240094988124"/>
          <c:y val="0.17181430446194229"/>
          <c:w val="0.12685164354455694"/>
          <c:h val="0.7812554680664917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 Dataset 0006.xlsx]Department vs money types!PivotTable4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Department</a:t>
            </a:r>
            <a:r>
              <a:rPr lang="en-IN" b="1" baseline="0"/>
              <a:t> vs money type</a:t>
            </a:r>
            <a:endParaRPr lang="en-IN" b="1"/>
          </a:p>
        </c:rich>
      </c:tx>
      <c:layout>
        <c:manualLayout>
          <c:xMode val="edge"/>
          <c:yMode val="edge"/>
          <c:x val="7.8937445319335067E-2"/>
          <c:y val="5.5555555555555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73403324584428"/>
          <c:y val="0.20833333333333334"/>
          <c:w val="0.82159492563429581"/>
          <c:h val="0.68426727909011376"/>
        </c:manualLayout>
      </c:layout>
      <c:barChart>
        <c:barDir val="bar"/>
        <c:grouping val="clustered"/>
        <c:varyColors val="0"/>
        <c:ser>
          <c:idx val="0"/>
          <c:order val="0"/>
          <c:tx>
            <c:strRef>
              <c:f>'Department vs money types'!$B$3:$B$4</c:f>
              <c:strCache>
                <c:ptCount val="1"/>
                <c:pt idx="0">
                  <c:v>Expense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vs money types'!$A$5:$A$10</c:f>
              <c:strCache>
                <c:ptCount val="6"/>
                <c:pt idx="0">
                  <c:v>Finance</c:v>
                </c:pt>
                <c:pt idx="1">
                  <c:v>HR</c:v>
                </c:pt>
                <c:pt idx="2">
                  <c:v>IT</c:v>
                </c:pt>
                <c:pt idx="3">
                  <c:v>Marketing</c:v>
                </c:pt>
                <c:pt idx="4">
                  <c:v>Operations</c:v>
                </c:pt>
                <c:pt idx="5">
                  <c:v>Sales</c:v>
                </c:pt>
              </c:strCache>
            </c:strRef>
          </c:cat>
          <c:val>
            <c:numRef>
              <c:f>'Department vs money types'!$B$5:$B$10</c:f>
              <c:numCache>
                <c:formatCode>General</c:formatCode>
                <c:ptCount val="6"/>
                <c:pt idx="0">
                  <c:v>37</c:v>
                </c:pt>
                <c:pt idx="1">
                  <c:v>38</c:v>
                </c:pt>
                <c:pt idx="2">
                  <c:v>37</c:v>
                </c:pt>
                <c:pt idx="3">
                  <c:v>48</c:v>
                </c:pt>
                <c:pt idx="4">
                  <c:v>46</c:v>
                </c:pt>
              </c:numCache>
            </c:numRef>
          </c:val>
          <c:extLst>
            <c:ext xmlns:c16="http://schemas.microsoft.com/office/drawing/2014/chart" uri="{C3380CC4-5D6E-409C-BE32-E72D297353CC}">
              <c16:uniqueId val="{00000000-6CBE-4AC7-A6E1-C2EF5A2272F8}"/>
            </c:ext>
          </c:extLst>
        </c:ser>
        <c:ser>
          <c:idx val="1"/>
          <c:order val="1"/>
          <c:tx>
            <c:strRef>
              <c:f>'Department vs money types'!$C$3:$C$4</c:f>
              <c:strCache>
                <c:ptCount val="1"/>
                <c:pt idx="0">
                  <c:v>Income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vs money types'!$A$5:$A$10</c:f>
              <c:strCache>
                <c:ptCount val="6"/>
                <c:pt idx="0">
                  <c:v>Finance</c:v>
                </c:pt>
                <c:pt idx="1">
                  <c:v>HR</c:v>
                </c:pt>
                <c:pt idx="2">
                  <c:v>IT</c:v>
                </c:pt>
                <c:pt idx="3">
                  <c:v>Marketing</c:v>
                </c:pt>
                <c:pt idx="4">
                  <c:v>Operations</c:v>
                </c:pt>
                <c:pt idx="5">
                  <c:v>Sales</c:v>
                </c:pt>
              </c:strCache>
            </c:strRef>
          </c:cat>
          <c:val>
            <c:numRef>
              <c:f>'Department vs money types'!$C$5:$C$10</c:f>
              <c:numCache>
                <c:formatCode>General</c:formatCode>
                <c:ptCount val="6"/>
                <c:pt idx="0">
                  <c:v>22</c:v>
                </c:pt>
                <c:pt idx="5">
                  <c:v>72</c:v>
                </c:pt>
              </c:numCache>
            </c:numRef>
          </c:val>
          <c:extLst>
            <c:ext xmlns:c16="http://schemas.microsoft.com/office/drawing/2014/chart" uri="{C3380CC4-5D6E-409C-BE32-E72D297353CC}">
              <c16:uniqueId val="{00000008-6CBE-4AC7-A6E1-C2EF5A2272F8}"/>
            </c:ext>
          </c:extLst>
        </c:ser>
        <c:dLbls>
          <c:dLblPos val="outEnd"/>
          <c:showLegendKey val="0"/>
          <c:showVal val="1"/>
          <c:showCatName val="0"/>
          <c:showSerName val="0"/>
          <c:showPercent val="0"/>
          <c:showBubbleSize val="0"/>
        </c:dLbls>
        <c:gapWidth val="182"/>
        <c:axId val="1036295999"/>
        <c:axId val="1036296479"/>
      </c:barChart>
      <c:catAx>
        <c:axId val="1036295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296479"/>
        <c:crosses val="autoZero"/>
        <c:auto val="1"/>
        <c:lblAlgn val="ctr"/>
        <c:lblOffset val="100"/>
        <c:noMultiLvlLbl val="0"/>
      </c:catAx>
      <c:valAx>
        <c:axId val="10362964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295999"/>
        <c:crosses val="autoZero"/>
        <c:crossBetween val="between"/>
      </c:valAx>
      <c:spPr>
        <a:noFill/>
        <a:ln>
          <a:noFill/>
        </a:ln>
        <a:effectLst/>
      </c:spPr>
    </c:plotArea>
    <c:legend>
      <c:legendPos val="r"/>
      <c:layout>
        <c:manualLayout>
          <c:xMode val="edge"/>
          <c:yMode val="edge"/>
          <c:x val="0.73241079418848387"/>
          <c:y val="3.2985564304461944E-2"/>
          <c:w val="9.9309413153770357E-2"/>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 Dataset 0006.xlsx]Department vs payment method!PivotTable5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Department</a:t>
            </a:r>
            <a:r>
              <a:rPr lang="en-IN" b="1" baseline="0"/>
              <a:t> vs Payment method</a:t>
            </a:r>
          </a:p>
        </c:rich>
      </c:tx>
      <c:layout>
        <c:manualLayout>
          <c:xMode val="edge"/>
          <c:yMode val="edge"/>
          <c:x val="1.3055429996182937E-2"/>
          <c:y val="2.37740594925634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797155825538017E-2"/>
          <c:y val="0.15453192240145039"/>
          <c:w val="0.92573565257341217"/>
          <c:h val="0.75354825948009507"/>
        </c:manualLayout>
      </c:layout>
      <c:barChart>
        <c:barDir val="col"/>
        <c:grouping val="clustered"/>
        <c:varyColors val="0"/>
        <c:ser>
          <c:idx val="0"/>
          <c:order val="0"/>
          <c:tx>
            <c:strRef>
              <c:f>'Department vs payment method'!$B$3:$B$4</c:f>
              <c:strCache>
                <c:ptCount val="1"/>
                <c:pt idx="0">
                  <c:v>Bank Transfer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vs payment method'!$A$5:$A$10</c:f>
              <c:strCache>
                <c:ptCount val="6"/>
                <c:pt idx="0">
                  <c:v>Finance</c:v>
                </c:pt>
                <c:pt idx="1">
                  <c:v>HR</c:v>
                </c:pt>
                <c:pt idx="2">
                  <c:v>IT</c:v>
                </c:pt>
                <c:pt idx="3">
                  <c:v>Marketing</c:v>
                </c:pt>
                <c:pt idx="4">
                  <c:v>Operations</c:v>
                </c:pt>
                <c:pt idx="5">
                  <c:v>Sales</c:v>
                </c:pt>
              </c:strCache>
            </c:strRef>
          </c:cat>
          <c:val>
            <c:numRef>
              <c:f>'Department vs payment method'!$B$5:$B$10</c:f>
              <c:numCache>
                <c:formatCode>General</c:formatCode>
                <c:ptCount val="6"/>
                <c:pt idx="0">
                  <c:v>59</c:v>
                </c:pt>
                <c:pt idx="1">
                  <c:v>14</c:v>
                </c:pt>
                <c:pt idx="2">
                  <c:v>12</c:v>
                </c:pt>
                <c:pt idx="3">
                  <c:v>36</c:v>
                </c:pt>
                <c:pt idx="4">
                  <c:v>12</c:v>
                </c:pt>
                <c:pt idx="5">
                  <c:v>61</c:v>
                </c:pt>
              </c:numCache>
            </c:numRef>
          </c:val>
          <c:extLst>
            <c:ext xmlns:c16="http://schemas.microsoft.com/office/drawing/2014/chart" uri="{C3380CC4-5D6E-409C-BE32-E72D297353CC}">
              <c16:uniqueId val="{00000000-F34F-4344-A129-5B5E0B4769E3}"/>
            </c:ext>
          </c:extLst>
        </c:ser>
        <c:ser>
          <c:idx val="1"/>
          <c:order val="1"/>
          <c:tx>
            <c:strRef>
              <c:f>'Department vs payment method'!$C$3:$C$4</c:f>
              <c:strCache>
                <c:ptCount val="1"/>
                <c:pt idx="0">
                  <c:v>Credit Card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vs payment method'!$A$5:$A$10</c:f>
              <c:strCache>
                <c:ptCount val="6"/>
                <c:pt idx="0">
                  <c:v>Finance</c:v>
                </c:pt>
                <c:pt idx="1">
                  <c:v>HR</c:v>
                </c:pt>
                <c:pt idx="2">
                  <c:v>IT</c:v>
                </c:pt>
                <c:pt idx="3">
                  <c:v>Marketing</c:v>
                </c:pt>
                <c:pt idx="4">
                  <c:v>Operations</c:v>
                </c:pt>
                <c:pt idx="5">
                  <c:v>Sales</c:v>
                </c:pt>
              </c:strCache>
            </c:strRef>
          </c:cat>
          <c:val>
            <c:numRef>
              <c:f>'Department vs payment method'!$C$5:$C$10</c:f>
              <c:numCache>
                <c:formatCode>General</c:formatCode>
                <c:ptCount val="6"/>
                <c:pt idx="1">
                  <c:v>24</c:v>
                </c:pt>
                <c:pt idx="2">
                  <c:v>25</c:v>
                </c:pt>
                <c:pt idx="3">
                  <c:v>12</c:v>
                </c:pt>
                <c:pt idx="4">
                  <c:v>12</c:v>
                </c:pt>
              </c:numCache>
            </c:numRef>
          </c:val>
          <c:extLst>
            <c:ext xmlns:c16="http://schemas.microsoft.com/office/drawing/2014/chart" uri="{C3380CC4-5D6E-409C-BE32-E72D297353CC}">
              <c16:uniqueId val="{0000000D-F34F-4344-A129-5B5E0B4769E3}"/>
            </c:ext>
          </c:extLst>
        </c:ser>
        <c:ser>
          <c:idx val="2"/>
          <c:order val="2"/>
          <c:tx>
            <c:strRef>
              <c:f>'Department vs payment method'!$D$3:$D$4</c:f>
              <c:strCache>
                <c:ptCount val="1"/>
                <c:pt idx="0">
                  <c:v>UPI</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vs payment method'!$A$5:$A$10</c:f>
              <c:strCache>
                <c:ptCount val="6"/>
                <c:pt idx="0">
                  <c:v>Finance</c:v>
                </c:pt>
                <c:pt idx="1">
                  <c:v>HR</c:v>
                </c:pt>
                <c:pt idx="2">
                  <c:v>IT</c:v>
                </c:pt>
                <c:pt idx="3">
                  <c:v>Marketing</c:v>
                </c:pt>
                <c:pt idx="4">
                  <c:v>Operations</c:v>
                </c:pt>
                <c:pt idx="5">
                  <c:v>Sales</c:v>
                </c:pt>
              </c:strCache>
            </c:strRef>
          </c:cat>
          <c:val>
            <c:numRef>
              <c:f>'Department vs payment method'!$D$5:$D$10</c:f>
              <c:numCache>
                <c:formatCode>General</c:formatCode>
                <c:ptCount val="6"/>
                <c:pt idx="4">
                  <c:v>22</c:v>
                </c:pt>
                <c:pt idx="5">
                  <c:v>11</c:v>
                </c:pt>
              </c:numCache>
            </c:numRef>
          </c:val>
          <c:extLst>
            <c:ext xmlns:c16="http://schemas.microsoft.com/office/drawing/2014/chart" uri="{C3380CC4-5D6E-409C-BE32-E72D297353CC}">
              <c16:uniqueId val="{0000000F-F34F-4344-A129-5B5E0B4769E3}"/>
            </c:ext>
          </c:extLst>
        </c:ser>
        <c:dLbls>
          <c:dLblPos val="outEnd"/>
          <c:showLegendKey val="0"/>
          <c:showVal val="1"/>
          <c:showCatName val="0"/>
          <c:showSerName val="0"/>
          <c:showPercent val="0"/>
          <c:showBubbleSize val="0"/>
        </c:dLbls>
        <c:gapWidth val="219"/>
        <c:overlap val="-27"/>
        <c:axId val="1036304159"/>
        <c:axId val="1036295039"/>
      </c:barChart>
      <c:catAx>
        <c:axId val="1036304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295039"/>
        <c:crosses val="autoZero"/>
        <c:auto val="1"/>
        <c:lblAlgn val="ctr"/>
        <c:lblOffset val="100"/>
        <c:noMultiLvlLbl val="0"/>
      </c:catAx>
      <c:valAx>
        <c:axId val="10362950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304159"/>
        <c:crosses val="autoZero"/>
        <c:crossBetween val="between"/>
      </c:valAx>
      <c:spPr>
        <a:noFill/>
        <a:ln>
          <a:noFill/>
        </a:ln>
        <a:effectLst/>
      </c:spPr>
    </c:plotArea>
    <c:legend>
      <c:legendPos val="r"/>
      <c:layout>
        <c:manualLayout>
          <c:xMode val="edge"/>
          <c:yMode val="edge"/>
          <c:x val="0.60570981477887775"/>
          <c:y val="1.4018664333624963E-2"/>
          <c:w val="0.3576609203360816"/>
          <c:h val="0.154299358413531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 Dataset 0006.xlsx]Department vs Payment Status!PivotTable6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Department</a:t>
            </a:r>
            <a:r>
              <a:rPr lang="en-IN" b="1" baseline="0"/>
              <a:t> vs Payment Status</a:t>
            </a:r>
          </a:p>
        </c:rich>
      </c:tx>
      <c:layout>
        <c:manualLayout>
          <c:xMode val="edge"/>
          <c:yMode val="edge"/>
          <c:x val="8.3023997000374935E-3"/>
          <c:y val="3.7037193093338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28958880139981"/>
          <c:y val="0.23148148148148148"/>
          <c:w val="0.79274759405074369"/>
          <c:h val="0.66111913094196562"/>
        </c:manualLayout>
      </c:layout>
      <c:barChart>
        <c:barDir val="bar"/>
        <c:grouping val="clustered"/>
        <c:varyColors val="0"/>
        <c:ser>
          <c:idx val="0"/>
          <c:order val="0"/>
          <c:tx>
            <c:strRef>
              <c:f>'Department vs Payment Status'!$B$3:$B$4</c:f>
              <c:strCache>
                <c:ptCount val="1"/>
                <c:pt idx="0">
                  <c:v>Cleared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vs Payment Status'!$A$5:$A$10</c:f>
              <c:strCache>
                <c:ptCount val="6"/>
                <c:pt idx="0">
                  <c:v>Finance</c:v>
                </c:pt>
                <c:pt idx="1">
                  <c:v>HR</c:v>
                </c:pt>
                <c:pt idx="2">
                  <c:v>IT</c:v>
                </c:pt>
                <c:pt idx="3">
                  <c:v>Marketing</c:v>
                </c:pt>
                <c:pt idx="4">
                  <c:v>Operations</c:v>
                </c:pt>
                <c:pt idx="5">
                  <c:v>Sales</c:v>
                </c:pt>
              </c:strCache>
            </c:strRef>
          </c:cat>
          <c:val>
            <c:numRef>
              <c:f>'Department vs Payment Status'!$B$5:$B$10</c:f>
              <c:numCache>
                <c:formatCode>General</c:formatCode>
                <c:ptCount val="6"/>
                <c:pt idx="0">
                  <c:v>37</c:v>
                </c:pt>
                <c:pt idx="1">
                  <c:v>28</c:v>
                </c:pt>
                <c:pt idx="2">
                  <c:v>29</c:v>
                </c:pt>
                <c:pt idx="3">
                  <c:v>38</c:v>
                </c:pt>
                <c:pt idx="4">
                  <c:v>34</c:v>
                </c:pt>
                <c:pt idx="5">
                  <c:v>59</c:v>
                </c:pt>
              </c:numCache>
            </c:numRef>
          </c:val>
          <c:extLst>
            <c:ext xmlns:c16="http://schemas.microsoft.com/office/drawing/2014/chart" uri="{C3380CC4-5D6E-409C-BE32-E72D297353CC}">
              <c16:uniqueId val="{00000000-B1DD-40C4-8425-70CB79E2E0E2}"/>
            </c:ext>
          </c:extLst>
        </c:ser>
        <c:ser>
          <c:idx val="1"/>
          <c:order val="1"/>
          <c:tx>
            <c:strRef>
              <c:f>'Department vs Payment Status'!$C$3:$C$4</c:f>
              <c:strCache>
                <c:ptCount val="1"/>
                <c:pt idx="0">
                  <c:v>Pending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vs Payment Status'!$A$5:$A$10</c:f>
              <c:strCache>
                <c:ptCount val="6"/>
                <c:pt idx="0">
                  <c:v>Finance</c:v>
                </c:pt>
                <c:pt idx="1">
                  <c:v>HR</c:v>
                </c:pt>
                <c:pt idx="2">
                  <c:v>IT</c:v>
                </c:pt>
                <c:pt idx="3">
                  <c:v>Marketing</c:v>
                </c:pt>
                <c:pt idx="4">
                  <c:v>Operations</c:v>
                </c:pt>
                <c:pt idx="5">
                  <c:v>Sales</c:v>
                </c:pt>
              </c:strCache>
            </c:strRef>
          </c:cat>
          <c:val>
            <c:numRef>
              <c:f>'Department vs Payment Status'!$C$5:$C$10</c:f>
              <c:numCache>
                <c:formatCode>General</c:formatCode>
                <c:ptCount val="6"/>
                <c:pt idx="0">
                  <c:v>22</c:v>
                </c:pt>
                <c:pt idx="1">
                  <c:v>10</c:v>
                </c:pt>
                <c:pt idx="2">
                  <c:v>8</c:v>
                </c:pt>
                <c:pt idx="3">
                  <c:v>10</c:v>
                </c:pt>
                <c:pt idx="4">
                  <c:v>12</c:v>
                </c:pt>
                <c:pt idx="5">
                  <c:v>13</c:v>
                </c:pt>
              </c:numCache>
            </c:numRef>
          </c:val>
          <c:extLst>
            <c:ext xmlns:c16="http://schemas.microsoft.com/office/drawing/2014/chart" uri="{C3380CC4-5D6E-409C-BE32-E72D297353CC}">
              <c16:uniqueId val="{00000004-B1DD-40C4-8425-70CB79E2E0E2}"/>
            </c:ext>
          </c:extLst>
        </c:ser>
        <c:dLbls>
          <c:dLblPos val="outEnd"/>
          <c:showLegendKey val="0"/>
          <c:showVal val="1"/>
          <c:showCatName val="0"/>
          <c:showSerName val="0"/>
          <c:showPercent val="0"/>
          <c:showBubbleSize val="0"/>
        </c:dLbls>
        <c:gapWidth val="182"/>
        <c:axId val="1036314239"/>
        <c:axId val="1036317599"/>
      </c:barChart>
      <c:catAx>
        <c:axId val="1036314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317599"/>
        <c:crosses val="autoZero"/>
        <c:auto val="1"/>
        <c:lblAlgn val="ctr"/>
        <c:lblOffset val="100"/>
        <c:noMultiLvlLbl val="0"/>
      </c:catAx>
      <c:valAx>
        <c:axId val="10363175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314239"/>
        <c:crosses val="autoZero"/>
        <c:crossBetween val="between"/>
      </c:valAx>
      <c:spPr>
        <a:noFill/>
        <a:ln>
          <a:noFill/>
        </a:ln>
        <a:effectLst/>
      </c:spPr>
    </c:plotArea>
    <c:legend>
      <c:legendPos val="r"/>
      <c:layout>
        <c:manualLayout>
          <c:xMode val="edge"/>
          <c:yMode val="edge"/>
          <c:x val="0.76367204099487562"/>
          <c:y val="4.2244823563721209E-2"/>
          <c:w val="0.18355018122734659"/>
          <c:h val="0.123162246859610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 Dataset 0006.xlsx]Number of Vendor or Client!PivotTable7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a:t>
            </a:r>
            <a:br>
              <a:rPr lang="en-US" b="1" baseline="0"/>
            </a:br>
            <a:r>
              <a:rPr lang="en-US" b="1" baseline="0"/>
              <a:t>Number of</a:t>
            </a:r>
            <a:br>
              <a:rPr lang="en-US" b="1" baseline="0"/>
            </a:br>
            <a:r>
              <a:rPr lang="en-US" b="1" baseline="0"/>
              <a:t> Vendor</a:t>
            </a:r>
            <a:endParaRPr lang="en-US" b="1"/>
          </a:p>
        </c:rich>
      </c:tx>
      <c:layout>
        <c:manualLayout>
          <c:xMode val="edge"/>
          <c:yMode val="edge"/>
          <c:x val="1.7012243575952977E-3"/>
          <c:y val="1.19580484704866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s>
    <c:plotArea>
      <c:layout>
        <c:manualLayout>
          <c:layoutTarget val="inner"/>
          <c:xMode val="edge"/>
          <c:yMode val="edge"/>
          <c:x val="9.434574087329993E-2"/>
          <c:y val="8.9777793899804767E-2"/>
          <c:w val="0.63177057785809565"/>
          <c:h val="0.90998820478164966"/>
        </c:manualLayout>
      </c:layout>
      <c:pieChart>
        <c:varyColors val="1"/>
        <c:ser>
          <c:idx val="0"/>
          <c:order val="0"/>
          <c:tx>
            <c:strRef>
              <c:f>'Number of Vendor or Client'!$B$3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61-47FC-831C-3ABAA83B31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61-47FC-831C-3ABAA83B31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D61-47FC-831C-3ABAA83B31B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D61-47FC-831C-3ABAA83B31B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D61-47FC-831C-3ABAA83B31B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D61-47FC-831C-3ABAA83B31B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D61-47FC-831C-3ABAA83B31B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D61-47FC-831C-3ABAA83B31B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D61-47FC-831C-3ABAA83B31B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D61-47FC-831C-3ABAA83B31B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2D61-47FC-831C-3ABAA83B31B6}"/>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2D61-47FC-831C-3ABAA83B31B6}"/>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2D61-47FC-831C-3ABAA83B31B6}"/>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2D61-47FC-831C-3ABAA83B31B6}"/>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2D61-47FC-831C-3ABAA83B31B6}"/>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2D61-47FC-831C-3ABAA83B31B6}"/>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2D61-47FC-831C-3ABAA83B31B6}"/>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2D61-47FC-831C-3ABAA83B31B6}"/>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2D61-47FC-831C-3ABAA83B31B6}"/>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2D61-47FC-831C-3ABAA83B31B6}"/>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2D61-47FC-831C-3ABAA83B31B6}"/>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2D61-47FC-831C-3ABAA83B31B6}"/>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2DC3-4C0E-90DC-752C1E1F1A11}"/>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2DC3-4C0E-90DC-752C1E1F1A11}"/>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2DC3-4C0E-90DC-752C1E1F1A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'Number of Vendor or Client'!$A$4:$A$28</c:f>
              <c:strCache>
                <c:ptCount val="25"/>
                <c:pt idx="0">
                  <c:v>Apex Technologies</c:v>
                </c:pt>
                <c:pt idx="1">
                  <c:v>Assure Partners</c:v>
                </c:pt>
                <c:pt idx="2">
                  <c:v>BluePeak Logistics</c:v>
                </c:pt>
                <c:pt idx="3">
                  <c:v>Brand Voice</c:v>
                </c:pt>
                <c:pt idx="4">
                  <c:v>Bright Media</c:v>
                </c:pt>
                <c:pt idx="5">
                  <c:v>City Power</c:v>
                </c:pt>
                <c:pt idx="6">
                  <c:v>CloudStack</c:v>
                </c:pt>
                <c:pt idx="7">
                  <c:v>Expo World</c:v>
                </c:pt>
                <c:pt idx="8">
                  <c:v>FinEdge Advisors</c:v>
                </c:pt>
                <c:pt idx="9">
                  <c:v>FixRight Services</c:v>
                </c:pt>
                <c:pt idx="10">
                  <c:v>Global Bank</c:v>
                </c:pt>
                <c:pt idx="11">
                  <c:v>HireFast</c:v>
                </c:pt>
                <c:pt idx="12">
                  <c:v>Lex &amp; Co</c:v>
                </c:pt>
                <c:pt idx="13">
                  <c:v>National Bank</c:v>
                </c:pt>
                <c:pt idx="14">
                  <c:v>Nimbus Retail</c:v>
                </c:pt>
                <c:pt idx="15">
                  <c:v>Orbit Telecom</c:v>
                </c:pt>
                <c:pt idx="16">
                  <c:v>SecureWare</c:v>
                </c:pt>
                <c:pt idx="17">
                  <c:v>SkillForge</c:v>
                </c:pt>
                <c:pt idx="18">
                  <c:v>SkyWays Travel</c:v>
                </c:pt>
                <c:pt idx="19">
                  <c:v>Studio Nine</c:v>
                </c:pt>
                <c:pt idx="20">
                  <c:v>Talent Hunt</c:v>
                </c:pt>
                <c:pt idx="21">
                  <c:v>Tech Bazaar</c:v>
                </c:pt>
                <c:pt idx="22">
                  <c:v>Urban Spaces</c:v>
                </c:pt>
                <c:pt idx="23">
                  <c:v>Vertex Systems</c:v>
                </c:pt>
                <c:pt idx="24">
                  <c:v>Zenith Health</c:v>
                </c:pt>
              </c:strCache>
            </c:strRef>
          </c:cat>
          <c:val>
            <c:numRef>
              <c:f>'Number of Vendor or Client'!$B$4:$B$28</c:f>
              <c:numCache>
                <c:formatCode>General</c:formatCode>
                <c:ptCount val="25"/>
                <c:pt idx="0">
                  <c:v>12</c:v>
                </c:pt>
                <c:pt idx="1">
                  <c:v>13</c:v>
                </c:pt>
                <c:pt idx="2">
                  <c:v>12</c:v>
                </c:pt>
                <c:pt idx="3">
                  <c:v>12</c:v>
                </c:pt>
                <c:pt idx="4">
                  <c:v>12</c:v>
                </c:pt>
                <c:pt idx="5">
                  <c:v>12</c:v>
                </c:pt>
                <c:pt idx="6">
                  <c:v>13</c:v>
                </c:pt>
                <c:pt idx="7">
                  <c:v>13</c:v>
                </c:pt>
                <c:pt idx="8">
                  <c:v>13</c:v>
                </c:pt>
                <c:pt idx="9">
                  <c:v>10</c:v>
                </c:pt>
                <c:pt idx="10">
                  <c:v>11</c:v>
                </c:pt>
                <c:pt idx="11">
                  <c:v>11</c:v>
                </c:pt>
                <c:pt idx="12">
                  <c:v>11</c:v>
                </c:pt>
                <c:pt idx="13">
                  <c:v>11</c:v>
                </c:pt>
                <c:pt idx="14">
                  <c:v>11</c:v>
                </c:pt>
                <c:pt idx="15">
                  <c:v>12</c:v>
                </c:pt>
                <c:pt idx="16">
                  <c:v>12</c:v>
                </c:pt>
                <c:pt idx="17">
                  <c:v>13</c:v>
                </c:pt>
                <c:pt idx="18">
                  <c:v>12</c:v>
                </c:pt>
                <c:pt idx="19">
                  <c:v>11</c:v>
                </c:pt>
                <c:pt idx="20">
                  <c:v>14</c:v>
                </c:pt>
                <c:pt idx="21">
                  <c:v>12</c:v>
                </c:pt>
                <c:pt idx="22">
                  <c:v>12</c:v>
                </c:pt>
                <c:pt idx="23">
                  <c:v>13</c:v>
                </c:pt>
                <c:pt idx="24">
                  <c:v>12</c:v>
                </c:pt>
              </c:numCache>
            </c:numRef>
          </c:val>
          <c:extLst>
            <c:ext xmlns:c16="http://schemas.microsoft.com/office/drawing/2014/chart" uri="{C3380CC4-5D6E-409C-BE32-E72D297353CC}">
              <c16:uniqueId val="{0000002C-2D61-47FC-831C-3ABAA83B31B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3011190646623714"/>
          <c:y val="9.1195640913937538E-3"/>
          <c:w val="0.24541033729212744"/>
          <c:h val="0.987714701465109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 Dataset 0006.xlsx]Department vs Amount!PivotTable1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Department</a:t>
            </a:r>
            <a:r>
              <a:rPr lang="en-US" b="1" baseline="0"/>
              <a:t> vs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 vs Amount'!$B$3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vs Amount'!$A$4:$A$9</c:f>
              <c:strCache>
                <c:ptCount val="6"/>
                <c:pt idx="0">
                  <c:v>Finance</c:v>
                </c:pt>
                <c:pt idx="1">
                  <c:v>HR</c:v>
                </c:pt>
                <c:pt idx="2">
                  <c:v>IT</c:v>
                </c:pt>
                <c:pt idx="3">
                  <c:v>Marketing</c:v>
                </c:pt>
                <c:pt idx="4">
                  <c:v>Operations</c:v>
                </c:pt>
                <c:pt idx="5">
                  <c:v>Sales</c:v>
                </c:pt>
              </c:strCache>
            </c:strRef>
          </c:cat>
          <c:val>
            <c:numRef>
              <c:f>'Department vs Amount'!$B$4:$B$9</c:f>
              <c:numCache>
                <c:formatCode>\₹#,##0.00</c:formatCode>
                <c:ptCount val="6"/>
                <c:pt idx="0">
                  <c:v>2693427</c:v>
                </c:pt>
                <c:pt idx="1">
                  <c:v>1348458</c:v>
                </c:pt>
                <c:pt idx="2">
                  <c:v>4226336</c:v>
                </c:pt>
                <c:pt idx="3">
                  <c:v>3572155</c:v>
                </c:pt>
                <c:pt idx="4">
                  <c:v>1978849</c:v>
                </c:pt>
                <c:pt idx="5">
                  <c:v>16369609</c:v>
                </c:pt>
              </c:numCache>
            </c:numRef>
          </c:val>
          <c:extLst>
            <c:ext xmlns:c16="http://schemas.microsoft.com/office/drawing/2014/chart" uri="{C3380CC4-5D6E-409C-BE32-E72D297353CC}">
              <c16:uniqueId val="{00000000-4CF8-4EED-95DF-7A0D5E253D65}"/>
            </c:ext>
          </c:extLst>
        </c:ser>
        <c:dLbls>
          <c:dLblPos val="outEnd"/>
          <c:showLegendKey val="0"/>
          <c:showVal val="1"/>
          <c:showCatName val="0"/>
          <c:showSerName val="0"/>
          <c:showPercent val="0"/>
          <c:showBubbleSize val="0"/>
        </c:dLbls>
        <c:gapWidth val="219"/>
        <c:overlap val="-27"/>
        <c:axId val="1457829631"/>
        <c:axId val="1457830591"/>
      </c:barChart>
      <c:catAx>
        <c:axId val="145782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830591"/>
        <c:crosses val="autoZero"/>
        <c:auto val="1"/>
        <c:lblAlgn val="ctr"/>
        <c:lblOffset val="100"/>
        <c:noMultiLvlLbl val="0"/>
      </c:catAx>
      <c:valAx>
        <c:axId val="145783059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829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 Dataset 0006.xlsx]Department vs Region!PivotTable2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Department</a:t>
            </a:r>
            <a:r>
              <a:rPr lang="en-US" b="1" baseline="0"/>
              <a:t> vs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'Department vs 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'Department vs Region'!$A$4:$A$28</c:f>
              <c:multiLvlStrCache>
                <c:ptCount val="18"/>
                <c:lvl>
                  <c:pt idx="0">
                    <c:v>East</c:v>
                  </c:pt>
                  <c:pt idx="1">
                    <c:v>South</c:v>
                  </c:pt>
                  <c:pt idx="2">
                    <c:v>North</c:v>
                  </c:pt>
                  <c:pt idx="3">
                    <c:v>South</c:v>
                  </c:pt>
                  <c:pt idx="4">
                    <c:v>West</c:v>
                  </c:pt>
                  <c:pt idx="5">
                    <c:v>East</c:v>
                  </c:pt>
                  <c:pt idx="6">
                    <c:v>South</c:v>
                  </c:pt>
                  <c:pt idx="7">
                    <c:v>West</c:v>
                  </c:pt>
                  <c:pt idx="8">
                    <c:v>East</c:v>
                  </c:pt>
                  <c:pt idx="9">
                    <c:v>South</c:v>
                  </c:pt>
                  <c:pt idx="10">
                    <c:v>West</c:v>
                  </c:pt>
                  <c:pt idx="11">
                    <c:v>East</c:v>
                  </c:pt>
                  <c:pt idx="12">
                    <c:v>North</c:v>
                  </c:pt>
                  <c:pt idx="13">
                    <c:v>South</c:v>
                  </c:pt>
                  <c:pt idx="14">
                    <c:v>West</c:v>
                  </c:pt>
                  <c:pt idx="15">
                    <c:v>North</c:v>
                  </c:pt>
                  <c:pt idx="16">
                    <c:v>South</c:v>
                  </c:pt>
                  <c:pt idx="17">
                    <c:v>West</c:v>
                  </c:pt>
                </c:lvl>
                <c:lvl>
                  <c:pt idx="0">
                    <c:v>Finance</c:v>
                  </c:pt>
                  <c:pt idx="2">
                    <c:v>HR</c:v>
                  </c:pt>
                  <c:pt idx="5">
                    <c:v>IT</c:v>
                  </c:pt>
                  <c:pt idx="8">
                    <c:v>Marketing</c:v>
                  </c:pt>
                  <c:pt idx="11">
                    <c:v>Operations</c:v>
                  </c:pt>
                  <c:pt idx="15">
                    <c:v>Sales</c:v>
                  </c:pt>
                </c:lvl>
              </c:multiLvlStrCache>
            </c:multiLvlStrRef>
          </c:cat>
          <c:val>
            <c:numRef>
              <c:f>'Department vs Region'!$B$4:$B$28</c:f>
              <c:numCache>
                <c:formatCode>General</c:formatCode>
                <c:ptCount val="18"/>
                <c:pt idx="0">
                  <c:v>35</c:v>
                </c:pt>
                <c:pt idx="1">
                  <c:v>24</c:v>
                </c:pt>
                <c:pt idx="2">
                  <c:v>14</c:v>
                </c:pt>
                <c:pt idx="3">
                  <c:v>11</c:v>
                </c:pt>
                <c:pt idx="4">
                  <c:v>13</c:v>
                </c:pt>
                <c:pt idx="5">
                  <c:v>12</c:v>
                </c:pt>
                <c:pt idx="6">
                  <c:v>13</c:v>
                </c:pt>
                <c:pt idx="7">
                  <c:v>12</c:v>
                </c:pt>
                <c:pt idx="8">
                  <c:v>24</c:v>
                </c:pt>
                <c:pt idx="9">
                  <c:v>12</c:v>
                </c:pt>
                <c:pt idx="10">
                  <c:v>12</c:v>
                </c:pt>
                <c:pt idx="11">
                  <c:v>12</c:v>
                </c:pt>
                <c:pt idx="12">
                  <c:v>12</c:v>
                </c:pt>
                <c:pt idx="13">
                  <c:v>12</c:v>
                </c:pt>
                <c:pt idx="14">
                  <c:v>10</c:v>
                </c:pt>
                <c:pt idx="15">
                  <c:v>37</c:v>
                </c:pt>
                <c:pt idx="16">
                  <c:v>12</c:v>
                </c:pt>
                <c:pt idx="17">
                  <c:v>23</c:v>
                </c:pt>
              </c:numCache>
            </c:numRef>
          </c:val>
          <c:extLst>
            <c:ext xmlns:c16="http://schemas.microsoft.com/office/drawing/2014/chart" uri="{C3380CC4-5D6E-409C-BE32-E72D297353CC}">
              <c16:uniqueId val="{00000000-D000-4CD6-9494-ECAA116A2AA4}"/>
            </c:ext>
          </c:extLst>
        </c:ser>
        <c:dLbls>
          <c:dLblPos val="outEnd"/>
          <c:showLegendKey val="0"/>
          <c:showVal val="1"/>
          <c:showCatName val="0"/>
          <c:showSerName val="0"/>
          <c:showPercent val="0"/>
          <c:showBubbleSize val="0"/>
        </c:dLbls>
        <c:gapWidth val="182"/>
        <c:axId val="1457834911"/>
        <c:axId val="1457835391"/>
      </c:barChart>
      <c:catAx>
        <c:axId val="1457834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835391"/>
        <c:crosses val="autoZero"/>
        <c:auto val="1"/>
        <c:lblAlgn val="ctr"/>
        <c:lblOffset val="100"/>
        <c:noMultiLvlLbl val="0"/>
      </c:catAx>
      <c:valAx>
        <c:axId val="14578353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834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 Dataset 0006.xlsx]Department vs Tax Amount!PivotTable3</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Department vs Tax Amount </a:t>
            </a:r>
            <a:r>
              <a:rPr lang="en-US" baseline="0"/>
              <a:t>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7537B226-9277-4D64-93DF-BDF2606D5F24}" type="VALUE">
                  <a:rPr lang="en-US" b="1">
                    <a:solidFill>
                      <a:schemeClr val="tx1"/>
                    </a:solidFill>
                  </a:rPr>
                  <a:pPr>
                    <a:defRPr sz="9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45B1F7E3-4BE4-4723-AE97-223ED68BFB39}" type="VALUE">
                  <a:rPr lang="en-US">
                    <a:solidFill>
                      <a:schemeClr val="tx1"/>
                    </a:solidFill>
                  </a:rPr>
                  <a:pPr>
                    <a:defRPr sz="9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F68C6E97-8555-4287-B6C8-C20F132E9883}" type="VALUE">
                  <a:rPr lang="en-US">
                    <a:solidFill>
                      <a:schemeClr val="tx1"/>
                    </a:solidFill>
                  </a:rPr>
                  <a:pPr>
                    <a:defRPr sz="9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D19351F8-6143-437A-9555-610A35408F87}" type="VALUE">
                  <a:rPr lang="en-US">
                    <a:solidFill>
                      <a:schemeClr val="tx1"/>
                    </a:solidFill>
                  </a:rPr>
                  <a:pPr>
                    <a:defRPr sz="9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A9583948-E023-4AD2-849B-8ADD6CB122BA}" type="VALUE">
                  <a:rPr lang="en-US">
                    <a:solidFill>
                      <a:schemeClr val="tx1"/>
                    </a:solidFill>
                  </a:rPr>
                  <a:pPr>
                    <a:defRPr sz="9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FFCA1DCA-D1DD-4E30-9274-82A1190FD41E}" type="VALUE">
                  <a:rPr lang="en-US">
                    <a:solidFill>
                      <a:schemeClr val="tx1"/>
                    </a:solidFill>
                  </a:rPr>
                  <a:pPr>
                    <a:defRPr sz="9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7537B226-9277-4D64-93DF-BDF2606D5F24}" type="VALUE">
                  <a:rPr lang="en-US" b="1">
                    <a:solidFill>
                      <a:schemeClr val="tx1"/>
                    </a:solidFill>
                  </a:rPr>
                  <a:pPr>
                    <a:defRPr sz="9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45B1F7E3-4BE4-4723-AE97-223ED68BFB39}" type="VALUE">
                  <a:rPr lang="en-US">
                    <a:solidFill>
                      <a:schemeClr val="tx1"/>
                    </a:solidFill>
                  </a:rPr>
                  <a:pPr>
                    <a:defRPr sz="9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D19351F8-6143-437A-9555-610A35408F87}" type="VALUE">
                  <a:rPr lang="en-US">
                    <a:solidFill>
                      <a:schemeClr val="tx1"/>
                    </a:solidFill>
                  </a:rPr>
                  <a:pPr>
                    <a:defRPr sz="9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A9583948-E023-4AD2-849B-8ADD6CB122BA}" type="VALUE">
                  <a:rPr lang="en-US">
                    <a:solidFill>
                      <a:schemeClr val="tx1"/>
                    </a:solidFill>
                  </a:rPr>
                  <a:pPr>
                    <a:defRPr sz="9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FFCA1DCA-D1DD-4E30-9274-82A1190FD41E}" type="VALUE">
                  <a:rPr lang="en-US">
                    <a:solidFill>
                      <a:schemeClr val="tx1"/>
                    </a:solidFill>
                  </a:rPr>
                  <a:pPr>
                    <a:defRPr sz="9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7537B226-9277-4D64-93DF-BDF2606D5F24}" type="VALUE">
                  <a:rPr lang="en-US" b="1">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45B1F7E3-4BE4-4723-AE97-223ED68BFB39}" type="VALUE">
                  <a:rPr lang="en-US">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D19351F8-6143-437A-9555-610A35408F87}" type="VALUE">
                  <a:rPr lang="en-US">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A9583948-E023-4AD2-849B-8ADD6CB122BA}" type="VALUE">
                  <a:rPr lang="en-US">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FFCA1DCA-D1DD-4E30-9274-82A1190FD41E}" type="VALUE">
                  <a:rPr lang="en-US">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clustered"/>
        <c:varyColors val="0"/>
        <c:ser>
          <c:idx val="0"/>
          <c:order val="0"/>
          <c:tx>
            <c:strRef>
              <c:f>'Department vs Tax Amount'!$B$3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0-E2AA-4131-8D39-8C0682EC9CCD}"/>
              </c:ext>
            </c:extLst>
          </c:dPt>
          <c:dPt>
            <c:idx val="1"/>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E2AA-4131-8D39-8C0682EC9CCD}"/>
              </c:ext>
            </c:extLst>
          </c:dPt>
          <c:dPt>
            <c:idx val="3"/>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E2AA-4131-8D39-8C0682EC9CCD}"/>
              </c:ext>
            </c:extLst>
          </c:dPt>
          <c:dPt>
            <c:idx val="4"/>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4-E2AA-4131-8D39-8C0682EC9CCD}"/>
              </c:ext>
            </c:extLst>
          </c:dPt>
          <c:dPt>
            <c:idx val="5"/>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0-0F89-40A9-B936-7C5180585318}"/>
              </c:ext>
            </c:extLst>
          </c:dPt>
          <c:dLbls>
            <c:dLbl>
              <c:idx val="0"/>
              <c:tx>
                <c:rich>
                  <a:bodyPr/>
                  <a:lstStyle/>
                  <a:p>
                    <a:fld id="{7537B226-9277-4D64-93DF-BDF2606D5F24}" type="VALUE">
                      <a:rPr lang="en-US" b="1">
                        <a:solidFill>
                          <a:schemeClr val="tx1"/>
                        </a:solidFill>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E2AA-4131-8D39-8C0682EC9CCD}"/>
                </c:ext>
              </c:extLst>
            </c:dLbl>
            <c:dLbl>
              <c:idx val="1"/>
              <c:tx>
                <c:rich>
                  <a:bodyPr/>
                  <a:lstStyle/>
                  <a:p>
                    <a:fld id="{45B1F7E3-4BE4-4723-AE97-223ED68BFB39}" type="VALUE">
                      <a:rPr lang="en-US">
                        <a:solidFill>
                          <a:schemeClr val="tx1"/>
                        </a:solidFill>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2AA-4131-8D39-8C0682EC9CCD}"/>
                </c:ext>
              </c:extLst>
            </c:dLbl>
            <c:dLbl>
              <c:idx val="3"/>
              <c:tx>
                <c:rich>
                  <a:bodyPr/>
                  <a:lstStyle/>
                  <a:p>
                    <a:fld id="{D19351F8-6143-437A-9555-610A35408F87}" type="VALUE">
                      <a:rPr lang="en-US">
                        <a:solidFill>
                          <a:schemeClr val="tx1"/>
                        </a:solidFill>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2AA-4131-8D39-8C0682EC9CCD}"/>
                </c:ext>
              </c:extLst>
            </c:dLbl>
            <c:dLbl>
              <c:idx val="4"/>
              <c:tx>
                <c:rich>
                  <a:bodyPr/>
                  <a:lstStyle/>
                  <a:p>
                    <a:fld id="{A9583948-E023-4AD2-849B-8ADD6CB122BA}" type="VALUE">
                      <a:rPr lang="en-US">
                        <a:solidFill>
                          <a:schemeClr val="tx1"/>
                        </a:solidFill>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E2AA-4131-8D39-8C0682EC9CCD}"/>
                </c:ext>
              </c:extLst>
            </c:dLbl>
            <c:dLbl>
              <c:idx val="5"/>
              <c:tx>
                <c:rich>
                  <a:bodyPr/>
                  <a:lstStyle/>
                  <a:p>
                    <a:fld id="{FFCA1DCA-D1DD-4E30-9274-82A1190FD41E}" type="VALUE">
                      <a:rPr lang="en-US">
                        <a:solidFill>
                          <a:schemeClr val="tx1"/>
                        </a:solidFill>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0F89-40A9-B936-7C518058531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'Department vs Tax Amount'!$A$4:$A$10</c:f>
              <c:strCache>
                <c:ptCount val="6"/>
                <c:pt idx="0">
                  <c:v>Finance</c:v>
                </c:pt>
                <c:pt idx="1">
                  <c:v>HR</c:v>
                </c:pt>
                <c:pt idx="2">
                  <c:v>IT</c:v>
                </c:pt>
                <c:pt idx="3">
                  <c:v>Marketing</c:v>
                </c:pt>
                <c:pt idx="4">
                  <c:v>Operations</c:v>
                </c:pt>
                <c:pt idx="5">
                  <c:v>Sales</c:v>
                </c:pt>
              </c:strCache>
            </c:strRef>
          </c:cat>
          <c:val>
            <c:numRef>
              <c:f>'Department vs Tax Amount'!$B$4:$B$10</c:f>
              <c:numCache>
                <c:formatCode>\₹#,##0.00</c:formatCode>
                <c:ptCount val="6"/>
                <c:pt idx="0">
                  <c:v>360577</c:v>
                </c:pt>
                <c:pt idx="1">
                  <c:v>205698</c:v>
                </c:pt>
                <c:pt idx="2">
                  <c:v>644696</c:v>
                </c:pt>
                <c:pt idx="3">
                  <c:v>544905</c:v>
                </c:pt>
                <c:pt idx="4">
                  <c:v>265809</c:v>
                </c:pt>
                <c:pt idx="5">
                  <c:v>2497059</c:v>
                </c:pt>
              </c:numCache>
            </c:numRef>
          </c:val>
          <c:extLst>
            <c:ext xmlns:c16="http://schemas.microsoft.com/office/drawing/2014/chart" uri="{C3380CC4-5D6E-409C-BE32-E72D297353CC}">
              <c16:uniqueId val="{00000005-E2AA-4131-8D39-8C0682EC9CCD}"/>
            </c:ext>
          </c:extLst>
        </c:ser>
        <c:dLbls>
          <c:dLblPos val="ctr"/>
          <c:showLegendKey val="0"/>
          <c:showVal val="1"/>
          <c:showCatName val="0"/>
          <c:showSerName val="0"/>
          <c:showPercent val="0"/>
          <c:showBubbleSize val="0"/>
        </c:dLbls>
        <c:gapWidth val="65"/>
        <c:axId val="1668035551"/>
        <c:axId val="1668033631"/>
      </c:barChart>
      <c:catAx>
        <c:axId val="1668035551"/>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68033631"/>
        <c:crosses val="autoZero"/>
        <c:auto val="1"/>
        <c:lblAlgn val="ctr"/>
        <c:lblOffset val="100"/>
        <c:noMultiLvlLbl val="0"/>
      </c:catAx>
      <c:valAx>
        <c:axId val="1668033631"/>
        <c:scaling>
          <c:orientation val="minMax"/>
        </c:scaling>
        <c:delete val="0"/>
        <c:axPos val="b"/>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68035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 Dataset 0006.xlsx]Payment Method vs Net Amount!PivotTable4</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Payment </a:t>
            </a:r>
            <a:br>
              <a:rPr lang="en-US"/>
            </a:br>
            <a:r>
              <a:rPr lang="en-US"/>
              <a:t>Method</a:t>
            </a:r>
            <a:br>
              <a:rPr lang="en-US"/>
            </a:br>
            <a:r>
              <a:rPr lang="en-US"/>
              <a:t> vs Net </a:t>
            </a:r>
            <a:br>
              <a:rPr lang="en-US"/>
            </a:br>
            <a:r>
              <a:rPr lang="en-US"/>
              <a:t>Amount</a:t>
            </a:r>
          </a:p>
        </c:rich>
      </c:tx>
      <c:layout>
        <c:manualLayout>
          <c:xMode val="edge"/>
          <c:yMode val="edge"/>
          <c:x val="0.74761892468359492"/>
          <c:y val="5.092592592592592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dLbl>
          <c:idx val="0"/>
          <c:layout>
            <c:manualLayout>
              <c:x val="-0.1354492983459035"/>
              <c:y val="-0.25399424030329548"/>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fld id="{D3DD4581-ED63-4D44-924F-48D663252808}" type="PERCENTAGE">
                  <a:rPr lang="en-US" sz="1100" b="1"/>
                  <a:pPr>
                    <a:defRPr sz="900" b="1" i="0" u="none" strike="noStrike" kern="1200" baseline="0">
                      <a:solidFill>
                        <a:schemeClr val="lt1"/>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layout>
                <c:manualLayout>
                  <c:w val="0.11141295862607338"/>
                  <c:h val="0.12493073782443861"/>
                </c:manualLayout>
              </c15:layout>
              <c15:dlblFieldTable/>
              <c15:showDataLabelsRange val="0"/>
            </c:ext>
          </c:extLst>
        </c:dLbl>
      </c:pivotFmt>
      <c:pivotFmt>
        <c:idx val="2"/>
        <c:spPr>
          <a:solidFill>
            <a:schemeClr val="accent3"/>
          </a:solidFill>
          <a:ln>
            <a:noFill/>
          </a:ln>
          <a:effectLst>
            <a:outerShdw blurRad="317500" algn="ctr" rotWithShape="0">
              <a:prstClr val="black">
                <a:alpha val="25000"/>
              </a:prstClr>
            </a:outerShdw>
          </a:effectLst>
        </c:spPr>
        <c:dLbl>
          <c:idx val="0"/>
          <c:layout>
            <c:manualLayout>
              <c:x val="5.1763078795478437E-2"/>
              <c:y val="0.1128217045785943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7.5316159250585463E-2"/>
                  <c:h val="0.10178258967629045"/>
                </c:manualLayout>
              </c15:layout>
            </c:ext>
          </c:extLst>
        </c:dLbl>
      </c:pivotFmt>
      <c:pivotFmt>
        <c:idx val="3"/>
        <c:spPr>
          <a:solidFill>
            <a:schemeClr val="accent2"/>
          </a:solidFill>
          <a:ln>
            <a:noFill/>
          </a:ln>
          <a:effectLst>
            <a:outerShdw blurRad="317500" algn="ctr" rotWithShape="0">
              <a:prstClr val="black">
                <a:alpha val="25000"/>
              </a:prstClr>
            </a:outerShdw>
          </a:effectLst>
        </c:spPr>
        <c:dLbl>
          <c:idx val="0"/>
          <c:layout>
            <c:manualLayout>
              <c:x val="0.14216599974183555"/>
              <c:y val="0.1690995917177019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0516783762685403"/>
                  <c:h val="9.2523330417031202E-2"/>
                </c:manualLayout>
              </c15:layout>
            </c:ext>
          </c:extLst>
        </c:dLbl>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dLbl>
          <c:idx val="0"/>
          <c:layout>
            <c:manualLayout>
              <c:x val="-0.1354492983459035"/>
              <c:y val="-0.25399424030329548"/>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fld id="{D3DD4581-ED63-4D44-924F-48D663252808}" type="PERCENTAGE">
                  <a:rPr lang="en-US" sz="1100" b="1"/>
                  <a:pPr>
                    <a:defRPr sz="900" b="1" i="0" u="none" strike="noStrike" kern="1200" baseline="0">
                      <a:solidFill>
                        <a:schemeClr val="lt1"/>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layout>
                <c:manualLayout>
                  <c:w val="0.11141295862607338"/>
                  <c:h val="0.12493073782443861"/>
                </c:manualLayout>
              </c15:layout>
              <c15:dlblFieldTable/>
              <c15:showDataLabelsRange val="0"/>
            </c:ext>
          </c:extLst>
        </c:dLbl>
      </c:pivotFmt>
      <c:pivotFmt>
        <c:idx val="6"/>
        <c:spPr>
          <a:solidFill>
            <a:schemeClr val="accent1"/>
          </a:solidFill>
          <a:ln>
            <a:noFill/>
          </a:ln>
          <a:effectLst>
            <a:outerShdw blurRad="317500" algn="ctr" rotWithShape="0">
              <a:prstClr val="black">
                <a:alpha val="25000"/>
              </a:prstClr>
            </a:outerShdw>
          </a:effectLst>
        </c:spPr>
        <c:dLbl>
          <c:idx val="0"/>
          <c:layout>
            <c:manualLayout>
              <c:x val="0.14216599974183555"/>
              <c:y val="0.1690995917177019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0516783762685403"/>
                  <c:h val="9.2523330417031202E-2"/>
                </c:manualLayout>
              </c15:layout>
            </c:ext>
          </c:extLst>
        </c:dLbl>
      </c:pivotFmt>
      <c:pivotFmt>
        <c:idx val="7"/>
        <c:spPr>
          <a:solidFill>
            <a:schemeClr val="accent1"/>
          </a:solidFill>
          <a:ln>
            <a:noFill/>
          </a:ln>
          <a:effectLst>
            <a:outerShdw blurRad="317500" algn="ctr" rotWithShape="0">
              <a:prstClr val="black">
                <a:alpha val="25000"/>
              </a:prstClr>
            </a:outerShdw>
          </a:effectLst>
        </c:spPr>
        <c:dLbl>
          <c:idx val="0"/>
          <c:layout>
            <c:manualLayout>
              <c:x val="5.1763078795478437E-2"/>
              <c:y val="0.1128217045785943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7.5316159250585463E-2"/>
                  <c:h val="0.10178258967629045"/>
                </c:manualLayout>
              </c15:layout>
            </c:ext>
          </c:extLst>
        </c:dLbl>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dLbl>
          <c:idx val="0"/>
          <c:layout>
            <c:manualLayout>
              <c:x val="-0.1354492983459035"/>
              <c:y val="-0.25399424030329548"/>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fld id="{D3DD4581-ED63-4D44-924F-48D663252808}" type="PERCENTAGE">
                  <a:rPr lang="en-US" sz="1100" b="1"/>
                  <a:pPr>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layout>
                <c:manualLayout>
                  <c:w val="0.11141295862607338"/>
                  <c:h val="0.12493073782443861"/>
                </c:manualLayout>
              </c15:layout>
              <c15:dlblFieldTable/>
              <c15:showDataLabelsRange val="0"/>
            </c:ext>
          </c:extLst>
        </c:dLbl>
      </c:pivotFmt>
      <c:pivotFmt>
        <c:idx val="10"/>
        <c:spPr>
          <a:solidFill>
            <a:schemeClr val="accent1"/>
          </a:solidFill>
          <a:ln>
            <a:noFill/>
          </a:ln>
          <a:effectLst>
            <a:outerShdw blurRad="317500" algn="ctr" rotWithShape="0">
              <a:prstClr val="black">
                <a:alpha val="25000"/>
              </a:prstClr>
            </a:outerShdw>
          </a:effectLst>
        </c:spPr>
        <c:dLbl>
          <c:idx val="0"/>
          <c:layout>
            <c:manualLayout>
              <c:x val="0.14216599974183555"/>
              <c:y val="0.1690995917177019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0516783762685403"/>
                  <c:h val="9.2523330417031202E-2"/>
                </c:manualLayout>
              </c15:layout>
            </c:ext>
          </c:extLst>
        </c:dLbl>
      </c:pivotFmt>
      <c:pivotFmt>
        <c:idx val="11"/>
        <c:spPr>
          <a:solidFill>
            <a:schemeClr val="accent1"/>
          </a:solidFill>
          <a:ln>
            <a:noFill/>
          </a:ln>
          <a:effectLst>
            <a:outerShdw blurRad="317500" algn="ctr" rotWithShape="0">
              <a:prstClr val="black">
                <a:alpha val="25000"/>
              </a:prstClr>
            </a:outerShdw>
          </a:effectLst>
        </c:spPr>
        <c:dLbl>
          <c:idx val="0"/>
          <c:layout>
            <c:manualLayout>
              <c:x val="5.1763078795478437E-2"/>
              <c:y val="0.1128217045785943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7.5316159250585463E-2"/>
                  <c:h val="0.10178258967629045"/>
                </c:manualLayout>
              </c15:layout>
            </c:ext>
          </c:extLst>
        </c:dLbl>
      </c:pivotFmt>
    </c:pivotFmts>
    <c:plotArea>
      <c:layout>
        <c:manualLayout>
          <c:layoutTarget val="inner"/>
          <c:xMode val="edge"/>
          <c:yMode val="edge"/>
          <c:x val="7.2908837215020256E-2"/>
          <c:y val="3.4074074074074076E-2"/>
          <c:w val="0.6381574434343249"/>
          <c:h val="0.94615704286964142"/>
        </c:manualLayout>
      </c:layout>
      <c:pieChart>
        <c:varyColors val="1"/>
        <c:ser>
          <c:idx val="0"/>
          <c:order val="0"/>
          <c:tx>
            <c:strRef>
              <c:f>'Payment Method vs Net Amount'!$B$3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1A2-40B8-97AF-6EADA924DAD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1A2-40B8-97AF-6EADA924DAD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1A2-40B8-97AF-6EADA924DADE}"/>
              </c:ext>
            </c:extLst>
          </c:dPt>
          <c:dLbls>
            <c:dLbl>
              <c:idx val="0"/>
              <c:layout>
                <c:manualLayout>
                  <c:x val="-0.1354492983459035"/>
                  <c:y val="-0.25399424030329548"/>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fld id="{D3DD4581-ED63-4D44-924F-48D663252808}" type="PERCENTAGE">
                      <a:rPr lang="en-US" sz="1100" b="1"/>
                      <a:pPr>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layout>
                    <c:manualLayout>
                      <c:w val="0.11141295862607338"/>
                      <c:h val="0.12493073782443861"/>
                    </c:manualLayout>
                  </c15:layout>
                  <c15:dlblFieldTable/>
                  <c15:showDataLabelsRange val="0"/>
                </c:ext>
                <c:ext xmlns:c16="http://schemas.microsoft.com/office/drawing/2014/chart" uri="{C3380CC4-5D6E-409C-BE32-E72D297353CC}">
                  <c16:uniqueId val="{00000001-21A2-40B8-97AF-6EADA924DADE}"/>
                </c:ext>
              </c:extLst>
            </c:dLbl>
            <c:dLbl>
              <c:idx val="1"/>
              <c:layout>
                <c:manualLayout>
                  <c:x val="0.14216599974183555"/>
                  <c:y val="0.1690995917177019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0516783762685403"/>
                      <c:h val="9.2523330417031202E-2"/>
                    </c:manualLayout>
                  </c15:layout>
                </c:ext>
                <c:ext xmlns:c16="http://schemas.microsoft.com/office/drawing/2014/chart" uri="{C3380CC4-5D6E-409C-BE32-E72D297353CC}">
                  <c16:uniqueId val="{00000003-21A2-40B8-97AF-6EADA924DADE}"/>
                </c:ext>
              </c:extLst>
            </c:dLbl>
            <c:dLbl>
              <c:idx val="2"/>
              <c:layout>
                <c:manualLayout>
                  <c:x val="5.1763078795478437E-2"/>
                  <c:y val="0.1128217045785943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7.5316159250585463E-2"/>
                      <c:h val="0.10178258967629045"/>
                    </c:manualLayout>
                  </c15:layout>
                </c:ext>
                <c:ext xmlns:c16="http://schemas.microsoft.com/office/drawing/2014/chart" uri="{C3380CC4-5D6E-409C-BE32-E72D297353CC}">
                  <c16:uniqueId val="{00000005-21A2-40B8-97AF-6EADA924DAD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'Payment Method vs Net Amount'!$A$4:$A$6</c:f>
              <c:strCache>
                <c:ptCount val="3"/>
                <c:pt idx="0">
                  <c:v>Bank Transfer</c:v>
                </c:pt>
                <c:pt idx="1">
                  <c:v>Credit Card</c:v>
                </c:pt>
                <c:pt idx="2">
                  <c:v>UPI</c:v>
                </c:pt>
              </c:strCache>
            </c:strRef>
          </c:cat>
          <c:val>
            <c:numRef>
              <c:f>'Payment Method vs Net Amount'!$B$4:$B$6</c:f>
              <c:numCache>
                <c:formatCode>\₹#,##0.00</c:formatCode>
                <c:ptCount val="3"/>
                <c:pt idx="0">
                  <c:v>24169958</c:v>
                </c:pt>
                <c:pt idx="1">
                  <c:v>3971576</c:v>
                </c:pt>
                <c:pt idx="2">
                  <c:v>2047300</c:v>
                </c:pt>
              </c:numCache>
            </c:numRef>
          </c:val>
          <c:extLst>
            <c:ext xmlns:c16="http://schemas.microsoft.com/office/drawing/2014/chart" uri="{C3380CC4-5D6E-409C-BE32-E72D297353CC}">
              <c16:uniqueId val="{00000006-21A2-40B8-97AF-6EADA924DAD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364662204109732"/>
          <c:y val="0.45709390492855062"/>
          <c:w val="0.21127785256351153"/>
          <c:h val="0.50752478856809569"/>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108610</xdr:rowOff>
    </xdr:from>
    <xdr:to>
      <xdr:col>32</xdr:col>
      <xdr:colOff>483577</xdr:colOff>
      <xdr:row>5</xdr:row>
      <xdr:rowOff>70510</xdr:rowOff>
    </xdr:to>
    <xdr:sp macro="" textlink="">
      <xdr:nvSpPr>
        <xdr:cNvPr id="2" name="Rectangle: Rounded Corners 1">
          <a:extLst>
            <a:ext uri="{FF2B5EF4-FFF2-40B4-BE49-F238E27FC236}">
              <a16:creationId xmlns:a16="http://schemas.microsoft.com/office/drawing/2014/main" id="{AC642090-28B4-E2EC-79F6-C60B30368042}"/>
            </a:ext>
          </a:extLst>
        </xdr:cNvPr>
        <xdr:cNvSpPr/>
      </xdr:nvSpPr>
      <xdr:spPr>
        <a:xfrm>
          <a:off x="0" y="108610"/>
          <a:ext cx="20178346"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26</xdr:col>
      <xdr:colOff>527538</xdr:colOff>
      <xdr:row>0</xdr:row>
      <xdr:rowOff>145548</xdr:rowOff>
    </xdr:from>
    <xdr:ext cx="3472961" cy="937629"/>
    <xdr:sp macro="" textlink="">
      <xdr:nvSpPr>
        <xdr:cNvPr id="3" name="Rectangle 2">
          <a:extLst>
            <a:ext uri="{FF2B5EF4-FFF2-40B4-BE49-F238E27FC236}">
              <a16:creationId xmlns:a16="http://schemas.microsoft.com/office/drawing/2014/main" id="{479E5A74-B6B1-2C69-3EE4-2A22A28B7904}"/>
            </a:ext>
          </a:extLst>
        </xdr:cNvPr>
        <xdr:cNvSpPr/>
      </xdr:nvSpPr>
      <xdr:spPr>
        <a:xfrm>
          <a:off x="16529538" y="145548"/>
          <a:ext cx="3472961" cy="937629"/>
        </a:xfrm>
        <a:prstGeom prst="rect">
          <a:avLst/>
        </a:prstGeom>
        <a:noFill/>
      </xdr:spPr>
      <xdr:txBody>
        <a:bodyPr wrap="square" lIns="91440" tIns="45720" rIns="91440" bIns="45720">
          <a:spAutoFit/>
        </a:bodyPr>
        <a:lstStyle/>
        <a:p>
          <a:pPr algn="ctr"/>
          <a:r>
            <a:rPr lang="en-US" sz="5400" b="1" cap="none" spc="0">
              <a:ln w="0"/>
              <a:solidFill>
                <a:schemeClr val="tx1"/>
              </a:solidFill>
              <a:effectLst>
                <a:outerShdw blurRad="38100" dist="19050" dir="2700000" algn="tl" rotWithShape="0">
                  <a:schemeClr val="dk1">
                    <a:alpha val="40000"/>
                  </a:schemeClr>
                </a:outerShdw>
              </a:effectLst>
            </a:rPr>
            <a:t>Dashboard</a:t>
          </a:r>
        </a:p>
      </xdr:txBody>
    </xdr:sp>
    <xdr:clientData/>
  </xdr:oneCellAnchor>
  <xdr:twoCellAnchor>
    <xdr:from>
      <xdr:col>0</xdr:col>
      <xdr:colOff>57150</xdr:colOff>
      <xdr:row>5</xdr:row>
      <xdr:rowOff>133350</xdr:rowOff>
    </xdr:from>
    <xdr:to>
      <xdr:col>5</xdr:col>
      <xdr:colOff>142875</xdr:colOff>
      <xdr:row>55</xdr:row>
      <xdr:rowOff>76200</xdr:rowOff>
    </xdr:to>
    <xdr:sp macro="" textlink="">
      <xdr:nvSpPr>
        <xdr:cNvPr id="4" name="Rectangle 3">
          <a:extLst>
            <a:ext uri="{FF2B5EF4-FFF2-40B4-BE49-F238E27FC236}">
              <a16:creationId xmlns:a16="http://schemas.microsoft.com/office/drawing/2014/main" id="{02F4C7DF-56B2-8299-5E1A-179202683899}"/>
            </a:ext>
          </a:extLst>
        </xdr:cNvPr>
        <xdr:cNvSpPr/>
      </xdr:nvSpPr>
      <xdr:spPr>
        <a:xfrm>
          <a:off x="57150" y="1085850"/>
          <a:ext cx="3133725" cy="94678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219075</xdr:colOff>
      <xdr:row>5</xdr:row>
      <xdr:rowOff>133351</xdr:rowOff>
    </xdr:from>
    <xdr:to>
      <xdr:col>32</xdr:col>
      <xdr:colOff>544285</xdr:colOff>
      <xdr:row>55</xdr:row>
      <xdr:rowOff>85725</xdr:rowOff>
    </xdr:to>
    <xdr:sp macro="" textlink="">
      <xdr:nvSpPr>
        <xdr:cNvPr id="5" name="Rectangle 4">
          <a:extLst>
            <a:ext uri="{FF2B5EF4-FFF2-40B4-BE49-F238E27FC236}">
              <a16:creationId xmlns:a16="http://schemas.microsoft.com/office/drawing/2014/main" id="{A46C9F18-DE94-4FB3-9047-4A95D48B7CBC}"/>
            </a:ext>
          </a:extLst>
        </xdr:cNvPr>
        <xdr:cNvSpPr/>
      </xdr:nvSpPr>
      <xdr:spPr>
        <a:xfrm>
          <a:off x="3249757" y="1061111"/>
          <a:ext cx="16690892" cy="922997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233728</xdr:colOff>
      <xdr:row>20</xdr:row>
      <xdr:rowOff>87922</xdr:rowOff>
    </xdr:from>
    <xdr:to>
      <xdr:col>14</xdr:col>
      <xdr:colOff>29306</xdr:colOff>
      <xdr:row>35</xdr:row>
      <xdr:rowOff>77665</xdr:rowOff>
    </xdr:to>
    <xdr:graphicFrame macro="">
      <xdr:nvGraphicFramePr>
        <xdr:cNvPr id="6" name="Chart 5">
          <a:extLst>
            <a:ext uri="{FF2B5EF4-FFF2-40B4-BE49-F238E27FC236}">
              <a16:creationId xmlns:a16="http://schemas.microsoft.com/office/drawing/2014/main" id="{86EE1CE0-83A2-4FA4-BA8D-5854940804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87923</xdr:colOff>
      <xdr:row>5</xdr:row>
      <xdr:rowOff>167787</xdr:rowOff>
    </xdr:from>
    <xdr:to>
      <xdr:col>23</xdr:col>
      <xdr:colOff>446942</xdr:colOff>
      <xdr:row>20</xdr:row>
      <xdr:rowOff>53487</xdr:rowOff>
    </xdr:to>
    <xdr:graphicFrame macro="">
      <xdr:nvGraphicFramePr>
        <xdr:cNvPr id="7" name="Chart 6">
          <a:extLst>
            <a:ext uri="{FF2B5EF4-FFF2-40B4-BE49-F238E27FC236}">
              <a16:creationId xmlns:a16="http://schemas.microsoft.com/office/drawing/2014/main" id="{E7718048-C711-4EC1-ACDB-A8ED0EBE4A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483577</xdr:colOff>
      <xdr:row>5</xdr:row>
      <xdr:rowOff>157530</xdr:rowOff>
    </xdr:from>
    <xdr:to>
      <xdr:col>32</xdr:col>
      <xdr:colOff>516548</xdr:colOff>
      <xdr:row>20</xdr:row>
      <xdr:rowOff>43230</xdr:rowOff>
    </xdr:to>
    <xdr:graphicFrame macro="">
      <xdr:nvGraphicFramePr>
        <xdr:cNvPr id="8" name="Chart 7">
          <a:extLst>
            <a:ext uri="{FF2B5EF4-FFF2-40B4-BE49-F238E27FC236}">
              <a16:creationId xmlns:a16="http://schemas.microsoft.com/office/drawing/2014/main" id="{37FB3EBD-DC34-4EED-9B72-9FC30F20CF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257908</xdr:colOff>
      <xdr:row>5</xdr:row>
      <xdr:rowOff>154598</xdr:rowOff>
    </xdr:from>
    <xdr:to>
      <xdr:col>14</xdr:col>
      <xdr:colOff>29307</xdr:colOff>
      <xdr:row>20</xdr:row>
      <xdr:rowOff>43961</xdr:rowOff>
    </xdr:to>
    <xdr:graphicFrame macro="">
      <xdr:nvGraphicFramePr>
        <xdr:cNvPr id="9" name="Chart 8">
          <a:extLst>
            <a:ext uri="{FF2B5EF4-FFF2-40B4-BE49-F238E27FC236}">
              <a16:creationId xmlns:a16="http://schemas.microsoft.com/office/drawing/2014/main" id="{DA598EFB-C050-4F02-8BD4-1F12DD8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73270</xdr:colOff>
      <xdr:row>35</xdr:row>
      <xdr:rowOff>146539</xdr:rowOff>
    </xdr:from>
    <xdr:to>
      <xdr:col>23</xdr:col>
      <xdr:colOff>454271</xdr:colOff>
      <xdr:row>55</xdr:row>
      <xdr:rowOff>22714</xdr:rowOff>
    </xdr:to>
    <xdr:graphicFrame macro="">
      <xdr:nvGraphicFramePr>
        <xdr:cNvPr id="10" name="Chart 9">
          <a:extLst>
            <a:ext uri="{FF2B5EF4-FFF2-40B4-BE49-F238E27FC236}">
              <a16:creationId xmlns:a16="http://schemas.microsoft.com/office/drawing/2014/main" id="{385B578A-B5B3-4B31-8EAB-71624E2BD5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468924</xdr:colOff>
      <xdr:row>20</xdr:row>
      <xdr:rowOff>86457</xdr:rowOff>
    </xdr:from>
    <xdr:to>
      <xdr:col>32</xdr:col>
      <xdr:colOff>496766</xdr:colOff>
      <xdr:row>35</xdr:row>
      <xdr:rowOff>86456</xdr:rowOff>
    </xdr:to>
    <xdr:graphicFrame macro="">
      <xdr:nvGraphicFramePr>
        <xdr:cNvPr id="11" name="Chart 10">
          <a:extLst>
            <a:ext uri="{FF2B5EF4-FFF2-40B4-BE49-F238E27FC236}">
              <a16:creationId xmlns:a16="http://schemas.microsoft.com/office/drawing/2014/main" id="{67AE5B45-2CBE-48AC-8C08-9C01D40BD9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238125</xdr:colOff>
      <xdr:row>35</xdr:row>
      <xdr:rowOff>104776</xdr:rowOff>
    </xdr:from>
    <xdr:to>
      <xdr:col>14</xdr:col>
      <xdr:colOff>29307</xdr:colOff>
      <xdr:row>55</xdr:row>
      <xdr:rowOff>57150</xdr:rowOff>
    </xdr:to>
    <xdr:graphicFrame macro="">
      <xdr:nvGraphicFramePr>
        <xdr:cNvPr id="12" name="Chart 11">
          <a:extLst>
            <a:ext uri="{FF2B5EF4-FFF2-40B4-BE49-F238E27FC236}">
              <a16:creationId xmlns:a16="http://schemas.microsoft.com/office/drawing/2014/main" id="{7B6042EC-1303-441A-808E-28106AD027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87923</xdr:colOff>
      <xdr:row>20</xdr:row>
      <xdr:rowOff>87191</xdr:rowOff>
    </xdr:from>
    <xdr:to>
      <xdr:col>23</xdr:col>
      <xdr:colOff>440347</xdr:colOff>
      <xdr:row>35</xdr:row>
      <xdr:rowOff>115765</xdr:rowOff>
    </xdr:to>
    <xdr:graphicFrame macro="">
      <xdr:nvGraphicFramePr>
        <xdr:cNvPr id="13" name="Chart 12">
          <a:extLst>
            <a:ext uri="{FF2B5EF4-FFF2-40B4-BE49-F238E27FC236}">
              <a16:creationId xmlns:a16="http://schemas.microsoft.com/office/drawing/2014/main" id="{914D5187-FD65-446E-B32C-4D4F40675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498232</xdr:colOff>
      <xdr:row>35</xdr:row>
      <xdr:rowOff>161192</xdr:rowOff>
    </xdr:from>
    <xdr:to>
      <xdr:col>32</xdr:col>
      <xdr:colOff>491638</xdr:colOff>
      <xdr:row>55</xdr:row>
      <xdr:rowOff>22712</xdr:rowOff>
    </xdr:to>
    <xdr:graphicFrame macro="">
      <xdr:nvGraphicFramePr>
        <xdr:cNvPr id="14" name="Chart 13">
          <a:extLst>
            <a:ext uri="{FF2B5EF4-FFF2-40B4-BE49-F238E27FC236}">
              <a16:creationId xmlns:a16="http://schemas.microsoft.com/office/drawing/2014/main" id="{8B1BC0C9-3858-4187-9653-679B251FC0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71803</xdr:colOff>
      <xdr:row>9</xdr:row>
      <xdr:rowOff>172743</xdr:rowOff>
    </xdr:from>
    <xdr:to>
      <xdr:col>2</xdr:col>
      <xdr:colOff>146539</xdr:colOff>
      <xdr:row>20</xdr:row>
      <xdr:rowOff>43961</xdr:rowOff>
    </xdr:to>
    <mc:AlternateContent xmlns:mc="http://schemas.openxmlformats.org/markup-compatibility/2006" xmlns:a14="http://schemas.microsoft.com/office/drawing/2010/main">
      <mc:Choice Requires="a14">
        <xdr:graphicFrame macro="">
          <xdr:nvGraphicFramePr>
            <xdr:cNvPr id="15" name="Department">
              <a:extLst>
                <a:ext uri="{FF2B5EF4-FFF2-40B4-BE49-F238E27FC236}">
                  <a16:creationId xmlns:a16="http://schemas.microsoft.com/office/drawing/2014/main" id="{09002353-1316-4A62-BA2C-813A8B57A93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1803" y="1887243"/>
              <a:ext cx="1305659" cy="19667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54866</xdr:colOff>
      <xdr:row>38</xdr:row>
      <xdr:rowOff>170840</xdr:rowOff>
    </xdr:from>
    <xdr:to>
      <xdr:col>2</xdr:col>
      <xdr:colOff>133787</xdr:colOff>
      <xdr:row>54</xdr:row>
      <xdr:rowOff>146538</xdr:rowOff>
    </xdr:to>
    <mc:AlternateContent xmlns:mc="http://schemas.openxmlformats.org/markup-compatibility/2006" xmlns:a14="http://schemas.microsoft.com/office/drawing/2010/main">
      <mc:Choice Requires="a14">
        <xdr:graphicFrame macro="">
          <xdr:nvGraphicFramePr>
            <xdr:cNvPr id="16" name="Month">
              <a:extLst>
                <a:ext uri="{FF2B5EF4-FFF2-40B4-BE49-F238E27FC236}">
                  <a16:creationId xmlns:a16="http://schemas.microsoft.com/office/drawing/2014/main" id="{B87F5534-38BC-4646-9397-2FF03C7980E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4866" y="7409840"/>
              <a:ext cx="1309844" cy="30236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126804</xdr:colOff>
      <xdr:row>18</xdr:row>
      <xdr:rowOff>14654</xdr:rowOff>
    </xdr:from>
    <xdr:to>
      <xdr:col>5</xdr:col>
      <xdr:colOff>137195</xdr:colOff>
      <xdr:row>54</xdr:row>
      <xdr:rowOff>161192</xdr:rowOff>
    </xdr:to>
    <mc:AlternateContent xmlns:mc="http://schemas.openxmlformats.org/markup-compatibility/2006" xmlns:a14="http://schemas.microsoft.com/office/drawing/2010/main">
      <mc:Choice Requires="a14">
        <xdr:graphicFrame macro="">
          <xdr:nvGraphicFramePr>
            <xdr:cNvPr id="17" name="Vendor/Client">
              <a:extLst>
                <a:ext uri="{FF2B5EF4-FFF2-40B4-BE49-F238E27FC236}">
                  <a16:creationId xmlns:a16="http://schemas.microsoft.com/office/drawing/2014/main" id="{0C12B135-09A1-4B8E-8A70-E2E9E23561F8}"/>
                </a:ext>
              </a:extLst>
            </xdr:cNvPr>
            <xdr:cNvGraphicFramePr/>
          </xdr:nvGraphicFramePr>
          <xdr:xfrm>
            <a:off x="0" y="0"/>
            <a:ext cx="0" cy="0"/>
          </xdr:xfrm>
          <a:graphic>
            <a:graphicData uri="http://schemas.microsoft.com/office/drawing/2010/slicer">
              <sle:slicer xmlns:sle="http://schemas.microsoft.com/office/drawing/2010/slicer" name="Vendor/Client"/>
            </a:graphicData>
          </a:graphic>
        </xdr:graphicFrame>
      </mc:Choice>
      <mc:Fallback xmlns="">
        <xdr:sp macro="" textlink="">
          <xdr:nvSpPr>
            <xdr:cNvPr id="0" name=""/>
            <xdr:cNvSpPr>
              <a:spLocks noTextEdit="1"/>
            </xdr:cNvSpPr>
          </xdr:nvSpPr>
          <xdr:spPr>
            <a:xfrm>
              <a:off x="1357727" y="3443654"/>
              <a:ext cx="1856776" cy="70045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71804</xdr:colOff>
      <xdr:row>0</xdr:row>
      <xdr:rowOff>111845</xdr:rowOff>
    </xdr:from>
    <xdr:to>
      <xdr:col>26</xdr:col>
      <xdr:colOff>586154</xdr:colOff>
      <xdr:row>5</xdr:row>
      <xdr:rowOff>73269</xdr:rowOff>
    </xdr:to>
    <mc:AlternateContent xmlns:mc="http://schemas.openxmlformats.org/markup-compatibility/2006" xmlns:a14="http://schemas.microsoft.com/office/drawing/2010/main">
      <mc:Choice Requires="a14">
        <xdr:graphicFrame macro="">
          <xdr:nvGraphicFramePr>
            <xdr:cNvPr id="18" name="Category">
              <a:extLst>
                <a:ext uri="{FF2B5EF4-FFF2-40B4-BE49-F238E27FC236}">
                  <a16:creationId xmlns:a16="http://schemas.microsoft.com/office/drawing/2014/main" id="{7D78B3B5-7943-4D1A-A6E4-066C684D425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1804" y="111845"/>
              <a:ext cx="16516350" cy="9139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73345</xdr:colOff>
      <xdr:row>32</xdr:row>
      <xdr:rowOff>49540</xdr:rowOff>
    </xdr:from>
    <xdr:to>
      <xdr:col>2</xdr:col>
      <xdr:colOff>117231</xdr:colOff>
      <xdr:row>38</xdr:row>
      <xdr:rowOff>87923</xdr:rowOff>
    </xdr:to>
    <mc:AlternateContent xmlns:mc="http://schemas.openxmlformats.org/markup-compatibility/2006" xmlns:a14="http://schemas.microsoft.com/office/drawing/2010/main">
      <mc:Choice Requires="a14">
        <xdr:graphicFrame macro="">
          <xdr:nvGraphicFramePr>
            <xdr:cNvPr id="19" name="Priority">
              <a:extLst>
                <a:ext uri="{FF2B5EF4-FFF2-40B4-BE49-F238E27FC236}">
                  <a16:creationId xmlns:a16="http://schemas.microsoft.com/office/drawing/2014/main" id="{12D53F69-3C56-4715-AE88-EB4AC4A29A02}"/>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mlns="">
        <xdr:sp macro="" textlink="">
          <xdr:nvSpPr>
            <xdr:cNvPr id="0" name=""/>
            <xdr:cNvSpPr>
              <a:spLocks noTextEdit="1"/>
            </xdr:cNvSpPr>
          </xdr:nvSpPr>
          <xdr:spPr>
            <a:xfrm>
              <a:off x="73345" y="6145540"/>
              <a:ext cx="1274809" cy="11813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88001</xdr:colOff>
      <xdr:row>25</xdr:row>
      <xdr:rowOff>121012</xdr:rowOff>
    </xdr:from>
    <xdr:to>
      <xdr:col>2</xdr:col>
      <xdr:colOff>117231</xdr:colOff>
      <xdr:row>31</xdr:row>
      <xdr:rowOff>175848</xdr:rowOff>
    </xdr:to>
    <mc:AlternateContent xmlns:mc="http://schemas.openxmlformats.org/markup-compatibility/2006" xmlns:a14="http://schemas.microsoft.com/office/drawing/2010/main">
      <mc:Choice Requires="a14">
        <xdr:graphicFrame macro="">
          <xdr:nvGraphicFramePr>
            <xdr:cNvPr id="20" name="Payment Method">
              <a:extLst>
                <a:ext uri="{FF2B5EF4-FFF2-40B4-BE49-F238E27FC236}">
                  <a16:creationId xmlns:a16="http://schemas.microsoft.com/office/drawing/2014/main" id="{2DDBE553-5D4C-4B7C-984B-2FA79F2EFD09}"/>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88001" y="4883512"/>
              <a:ext cx="1260153" cy="11978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73347</xdr:colOff>
      <xdr:row>20</xdr:row>
      <xdr:rowOff>77049</xdr:rowOff>
    </xdr:from>
    <xdr:to>
      <xdr:col>2</xdr:col>
      <xdr:colOff>102577</xdr:colOff>
      <xdr:row>25</xdr:row>
      <xdr:rowOff>29308</xdr:rowOff>
    </xdr:to>
    <mc:AlternateContent xmlns:mc="http://schemas.openxmlformats.org/markup-compatibility/2006" xmlns:a14="http://schemas.microsoft.com/office/drawing/2010/main">
      <mc:Choice Requires="a14">
        <xdr:graphicFrame macro="">
          <xdr:nvGraphicFramePr>
            <xdr:cNvPr id="21" name="Type">
              <a:extLst>
                <a:ext uri="{FF2B5EF4-FFF2-40B4-BE49-F238E27FC236}">
                  <a16:creationId xmlns:a16="http://schemas.microsoft.com/office/drawing/2014/main" id="{4A88EB8C-D32D-40B7-9B5D-2D2F61CCF483}"/>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73347" y="3887049"/>
              <a:ext cx="1260153" cy="904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161193</xdr:colOff>
      <xdr:row>9</xdr:row>
      <xdr:rowOff>146539</xdr:rowOff>
    </xdr:from>
    <xdr:to>
      <xdr:col>5</xdr:col>
      <xdr:colOff>146538</xdr:colOff>
      <xdr:row>17</xdr:row>
      <xdr:rowOff>117232</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77EFF25E-9852-4711-982A-DCCA2825290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92116" y="1861039"/>
              <a:ext cx="1831730" cy="1494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73268</xdr:colOff>
      <xdr:row>5</xdr:row>
      <xdr:rowOff>146539</xdr:rowOff>
    </xdr:from>
    <xdr:to>
      <xdr:col>5</xdr:col>
      <xdr:colOff>131884</xdr:colOff>
      <xdr:row>8</xdr:row>
      <xdr:rowOff>175846</xdr:rowOff>
    </xdr:to>
    <mc:AlternateContent xmlns:mc="http://schemas.openxmlformats.org/markup-compatibility/2006" xmlns:a14="http://schemas.microsoft.com/office/drawing/2010/main">
      <mc:Choice Requires="a14">
        <xdr:graphicFrame macro="">
          <xdr:nvGraphicFramePr>
            <xdr:cNvPr id="23" name="Status">
              <a:extLst>
                <a:ext uri="{FF2B5EF4-FFF2-40B4-BE49-F238E27FC236}">
                  <a16:creationId xmlns:a16="http://schemas.microsoft.com/office/drawing/2014/main" id="{93B5B6C1-4F1F-4948-98AD-286DD24818B4}"/>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73268" y="1099039"/>
              <a:ext cx="3135924" cy="6008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roshan kumar" id="{DB18A180-0565-44F9-A250-55A6FB4A4E2B}" userId="04ece32fe04ccd59"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an" refreshedDate="46229.434661342595" createdVersion="8" refreshedVersion="8" minRefreshableVersion="3" recordCount="300" xr:uid="{46B8E853-F370-43A7-BFCF-7CEEB99F018D}">
  <cacheSource type="worksheet">
    <worksheetSource name="Table1"/>
  </cacheSource>
  <cacheFields count="19">
    <cacheField name="Txn ID" numFmtId="0">
      <sharedItems/>
    </cacheField>
    <cacheField name="Date" numFmtId="165">
      <sharedItems containsSemiMixedTypes="0" containsNonDate="0" containsDate="1" containsString="0" minDate="2026-01-01T00:00:00" maxDate="2026-10-28T00:00:00" count="3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sharedItems>
      <fieldGroup par="18"/>
    </cacheField>
    <cacheField name="Month" numFmtId="0">
      <sharedItems count="10">
        <s v="Jan"/>
        <s v="Feb"/>
        <s v="Mar"/>
        <s v="Apr"/>
        <s v="May"/>
        <s v="Jun"/>
        <s v="Jul"/>
        <s v="Aug"/>
        <s v="Sep"/>
        <s v="Oct"/>
      </sharedItems>
    </cacheField>
    <cacheField name="Department" numFmtId="0">
      <sharedItems count="6">
        <s v="Sales"/>
        <s v="Operations"/>
        <s v="HR"/>
        <s v="Finance"/>
        <s v="IT"/>
        <s v="Marketing"/>
      </sharedItems>
    </cacheField>
    <cacheField name="Account" numFmtId="0">
      <sharedItems containsSemiMixedTypes="0" containsString="0" containsNumber="1" containsInteger="1" minValue="4001" maxValue="5502"/>
    </cacheField>
    <cacheField name="Category" numFmtId="0">
      <sharedItems count="19">
        <s v="Revenue"/>
        <s v="Office Rent"/>
        <s v="Salaries"/>
        <s v="Consulting"/>
        <s v="Software"/>
        <s v="Events"/>
        <s v="Hardware"/>
        <s v="Audit Fees"/>
        <s v="Content"/>
        <s v="Recruitment"/>
        <s v="PR"/>
        <s v="Advertising"/>
        <s v="Other Income"/>
        <s v="Utilities"/>
        <s v="Training"/>
        <s v="Travel"/>
        <s v="Legal Fees"/>
        <s v="Maintenance"/>
        <s v="Interest Income"/>
      </sharedItems>
    </cacheField>
    <cacheField name="Description" numFmtId="0">
      <sharedItems/>
    </cacheField>
    <cacheField name="Vendor/Client" numFmtId="0">
      <sharedItems count="25">
        <s v="Apex Technologies"/>
        <s v="Urban Spaces"/>
        <s v="Talent Hunt"/>
        <s v="FinEdge Advisors"/>
        <s v="CloudStack"/>
        <s v="Zenith Health"/>
        <s v="Expo World"/>
        <s v="Vertex Systems"/>
        <s v="Tech Bazaar"/>
        <s v="Assure Partners"/>
        <s v="BluePeak Logistics"/>
        <s v="Studio Nine"/>
        <s v="SecureWare"/>
        <s v="HireFast"/>
        <s v="Orbit Telecom"/>
        <s v="Brand Voice"/>
        <s v="Bright Media"/>
        <s v="Global Bank"/>
        <s v="City Power"/>
        <s v="SkillForge"/>
        <s v="Nimbus Retail"/>
        <s v="SkyWays Travel"/>
        <s v="Lex &amp; Co"/>
        <s v="FixRight Services"/>
        <s v="National Bank"/>
      </sharedItems>
    </cacheField>
    <cacheField name="Type" numFmtId="0">
      <sharedItems count="2">
        <s v="Income"/>
        <s v="Expense"/>
      </sharedItems>
    </cacheField>
    <cacheField name="Payment Method" numFmtId="0">
      <sharedItems count="3">
        <s v="Bank Transfer"/>
        <s v="Credit Card"/>
        <s v="UPI"/>
      </sharedItems>
    </cacheField>
    <cacheField name="Amount" numFmtId="164">
      <sharedItems containsSemiMixedTypes="0" containsString="0" containsNumber="1" containsInteger="1" minValue="10560" maxValue="336000"/>
    </cacheField>
    <cacheField name="Tax %" numFmtId="10">
      <sharedItems containsSemiMixedTypes="0" containsString="0" containsNumber="1" minValue="0" maxValue="0.18"/>
    </cacheField>
    <cacheField name="Tax Amount" numFmtId="164">
      <sharedItems containsSemiMixedTypes="0" containsString="0" containsNumber="1" containsInteger="1" minValue="0" maxValue="60480" count="183">
        <n v="39600"/>
        <n v="13104"/>
        <n v="5076"/>
        <n v="10476"/>
        <n v="12960"/>
        <n v="55620"/>
        <n v="17172"/>
        <n v="34335"/>
        <n v="30240"/>
        <n v="8712"/>
        <n v="15561"/>
        <n v="10998"/>
        <n v="12571"/>
        <n v="7200"/>
        <n v="38934"/>
        <n v="33390"/>
        <n v="9810"/>
        <n v="9072"/>
        <n v="12672"/>
        <n v="4914"/>
        <n v="0"/>
        <n v="52380"/>
        <n v="2700"/>
        <n v="16686"/>
        <n v="4198"/>
        <n v="23544"/>
        <n v="11088"/>
        <n v="1188"/>
        <n v="12182"/>
        <n v="36666"/>
        <n v="8460"/>
        <n v="4635"/>
        <n v="9540"/>
        <n v="8829"/>
        <n v="4752"/>
        <n v="9828"/>
        <n v="2619"/>
        <n v="45000"/>
        <n v="4079"/>
        <n v="18126"/>
        <n v="10791"/>
        <n v="1512"/>
        <n v="47520"/>
        <n v="11794"/>
        <n v="6768"/>
        <n v="8206"/>
        <n v="21600"/>
        <n v="17613"/>
        <n v="8586"/>
        <n v="15696"/>
        <n v="6048"/>
        <n v="9504"/>
        <n v="28665"/>
        <n v="42300"/>
        <n v="15714"/>
        <n v="3960"/>
        <n v="27810"/>
        <n v="1472"/>
        <n v="27720"/>
        <n v="6552"/>
        <n v="20304"/>
        <n v="4365"/>
        <n v="9000"/>
        <n v="8343"/>
        <n v="15264"/>
        <n v="41202"/>
        <n v="12096"/>
        <n v="11405"/>
        <n v="2457"/>
        <n v="15228"/>
        <n v="27000"/>
        <n v="1431"/>
        <n v="12753"/>
        <n v="50400"/>
        <n v="6336"/>
        <n v="7699"/>
        <n v="4230"/>
        <n v="54000"/>
        <n v="14832"/>
        <n v="5724"/>
        <n v="11772"/>
        <n v="14515"/>
        <n v="15048"/>
        <n v="3722"/>
        <n v="26190"/>
        <n v="9900"/>
        <n v="32445"/>
        <n v="12402"/>
        <n v="14126"/>
        <n v="19152"/>
        <n v="7445"/>
        <n v="7857"/>
        <n v="14400"/>
        <n v="5562"/>
        <n v="22896"/>
        <n v="3024"/>
        <n v="14256"/>
        <n v="3604"/>
        <n v="35532"/>
        <n v="9603"/>
        <n v="12051"/>
        <n v="13738"/>
        <n v="9475"/>
        <n v="8190"/>
        <n v="29610"/>
        <n v="43650"/>
        <n v="5400"/>
        <n v="11124"/>
        <n v="2943"/>
        <n v="60480"/>
        <n v="33264"/>
        <n v="24570"/>
        <n v="9306"/>
        <n v="1310"/>
        <n v="17100"/>
        <n v="13349"/>
        <n v="7632"/>
        <n v="58860"/>
        <n v="5040"/>
        <n v="7371"/>
        <n v="13536"/>
        <n v="5238"/>
        <n v="10800"/>
        <n v="2862"/>
        <n v="17658"/>
        <n v="4435"/>
        <n v="23760"/>
        <n v="19656"/>
        <n v="1269"/>
        <n v="7416"/>
        <n v="40068"/>
        <n v="4905"/>
        <n v="10080"/>
        <n v="7128"/>
        <n v="2781"/>
        <n v="49050"/>
        <n v="24192"/>
        <n v="1229"/>
        <n v="8714"/>
        <n v="47700"/>
        <n v="10152"/>
        <n v="31500"/>
        <n v="29430"/>
        <n v="10647"/>
        <n v="6984"/>
        <n v="22248"/>
        <n v="16128"/>
        <n v="34398"/>
        <n v="16200"/>
        <n v="10296"/>
        <n v="4500"/>
        <n v="2538"/>
        <n v="16587"/>
        <n v="10494"/>
        <n v="35280"/>
        <n v="7952"/>
        <n v="5886"/>
        <n v="19008"/>
        <n v="3841"/>
        <n v="8730"/>
        <n v="37800"/>
        <n v="2376"/>
        <n v="14742"/>
        <n v="50760"/>
        <n v="1391"/>
        <n v="18639"/>
        <n v="8064"/>
        <n v="4095"/>
        <n v="30555"/>
        <n v="11448"/>
        <n v="25380"/>
        <n v="7848"/>
        <n v="7614"/>
        <n v="20952"/>
        <n v="18144"/>
        <n v="3485"/>
        <n v="40950"/>
        <n v="11700"/>
        <n v="57240"/>
        <n v="9221"/>
        <n v="7920"/>
        <n v="16074"/>
        <n v="9009"/>
      </sharedItems>
    </cacheField>
    <cacheField name="Net Amount" numFmtId="164">
      <sharedItems containsSemiMixedTypes="0" containsString="0" containsNumber="1" containsInteger="1" minValue="10560" maxValue="396480"/>
    </cacheField>
    <cacheField name="Status" numFmtId="0">
      <sharedItems count="2">
        <s v="Cleared"/>
        <s v="Pending"/>
      </sharedItems>
    </cacheField>
    <cacheField name="Region" numFmtId="0">
      <sharedItems count="4">
        <s v="North"/>
        <s v="South"/>
        <s v="East"/>
        <s v="West"/>
      </sharedItems>
    </cacheField>
    <cacheField name="Priority" numFmtId="0">
      <sharedItems count="3">
        <s v="High"/>
        <s v="Medium"/>
        <s v="Low"/>
      </sharedItems>
    </cacheField>
    <cacheField name="Days (Date)" numFmtId="0" databaseField="0">
      <fieldGroup base="1">
        <rangePr groupBy="days" startDate="2026-01-01T00:00:00" endDate="2026-10-28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6"/>
        </groupItems>
      </fieldGroup>
    </cacheField>
    <cacheField name="Months (Date)" numFmtId="0" databaseField="0">
      <fieldGroup base="1">
        <rangePr groupBy="months" startDate="2026-01-01T00:00:00" endDate="2026-10-28T00:00:00"/>
        <groupItems count="14">
          <s v="&lt;01-01-2026"/>
          <s v="Jan"/>
          <s v="Feb"/>
          <s v="Mar"/>
          <s v="Apr"/>
          <s v="May"/>
          <s v="Jun"/>
          <s v="Jul"/>
          <s v="Aug"/>
          <s v="Sep"/>
          <s v="Oct"/>
          <s v="Nov"/>
          <s v="Dec"/>
          <s v="&gt;28-10-2026"/>
        </groupItems>
      </fieldGroup>
    </cacheField>
  </cacheFields>
  <extLst>
    <ext xmlns:x14="http://schemas.microsoft.com/office/spreadsheetml/2009/9/main" uri="{725AE2AE-9491-48be-B2B4-4EB974FC3084}">
      <x14:pivotCacheDefinition pivotCacheId="10980925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TXN-1001"/>
    <x v="0"/>
    <x v="0"/>
    <x v="0"/>
    <n v="4001"/>
    <x v="0"/>
    <s v="Enterprise software license"/>
    <x v="0"/>
    <x v="0"/>
    <x v="0"/>
    <n v="220000"/>
    <n v="0.18"/>
    <x v="0"/>
    <n v="259600"/>
    <x v="0"/>
    <x v="0"/>
    <x v="0"/>
  </r>
  <r>
    <s v="TXN-1002"/>
    <x v="1"/>
    <x v="0"/>
    <x v="1"/>
    <n v="5201"/>
    <x v="1"/>
    <s v="Monthly office rent"/>
    <x v="1"/>
    <x v="1"/>
    <x v="0"/>
    <n v="72800"/>
    <n v="0.18"/>
    <x v="1"/>
    <n v="85904"/>
    <x v="0"/>
    <x v="1"/>
    <x v="0"/>
  </r>
  <r>
    <s v="TXN-1003"/>
    <x v="2"/>
    <x v="0"/>
    <x v="2"/>
    <n v="5301"/>
    <x v="2"/>
    <s v="Contract recruiter payout"/>
    <x v="2"/>
    <x v="1"/>
    <x v="0"/>
    <n v="28200"/>
    <n v="0.18"/>
    <x v="2"/>
    <n v="33276"/>
    <x v="0"/>
    <x v="0"/>
    <x v="1"/>
  </r>
  <r>
    <s v="TXN-1004"/>
    <x v="3"/>
    <x v="0"/>
    <x v="3"/>
    <n v="5401"/>
    <x v="3"/>
    <s v="Quarterly tax advisory"/>
    <x v="3"/>
    <x v="1"/>
    <x v="0"/>
    <n v="58200"/>
    <n v="0.18"/>
    <x v="3"/>
    <n v="68676"/>
    <x v="1"/>
    <x v="2"/>
    <x v="0"/>
  </r>
  <r>
    <s v="TXN-1005"/>
    <x v="4"/>
    <x v="0"/>
    <x v="4"/>
    <n v="5501"/>
    <x v="4"/>
    <s v="CRM annual subscription"/>
    <x v="4"/>
    <x v="1"/>
    <x v="1"/>
    <n v="72000"/>
    <n v="0.18"/>
    <x v="4"/>
    <n v="84960"/>
    <x v="0"/>
    <x v="1"/>
    <x v="0"/>
  </r>
  <r>
    <s v="TXN-1006"/>
    <x v="5"/>
    <x v="0"/>
    <x v="0"/>
    <n v="4001"/>
    <x v="0"/>
    <s v="Annual platform subscription"/>
    <x v="5"/>
    <x v="0"/>
    <x v="0"/>
    <n v="309000"/>
    <n v="0.18"/>
    <x v="5"/>
    <n v="364620"/>
    <x v="0"/>
    <x v="0"/>
    <x v="0"/>
  </r>
  <r>
    <s v="TXN-1007"/>
    <x v="6"/>
    <x v="0"/>
    <x v="5"/>
    <n v="5103"/>
    <x v="5"/>
    <s v="Trade expo booth booking"/>
    <x v="6"/>
    <x v="1"/>
    <x v="0"/>
    <n v="95400"/>
    <n v="0.18"/>
    <x v="6"/>
    <n v="112572"/>
    <x v="0"/>
    <x v="2"/>
    <x v="0"/>
  </r>
  <r>
    <s v="TXN-1008"/>
    <x v="7"/>
    <x v="0"/>
    <x v="0"/>
    <n v="4003"/>
    <x v="0"/>
    <s v="Renewal subscription"/>
    <x v="7"/>
    <x v="0"/>
    <x v="0"/>
    <n v="190750"/>
    <n v="0.18"/>
    <x v="7"/>
    <n v="225085"/>
    <x v="1"/>
    <x v="0"/>
    <x v="0"/>
  </r>
  <r>
    <s v="TXN-1009"/>
    <x v="8"/>
    <x v="0"/>
    <x v="4"/>
    <n v="5502"/>
    <x v="6"/>
    <s v="Laptops for new hires"/>
    <x v="8"/>
    <x v="1"/>
    <x v="0"/>
    <n v="168000"/>
    <n v="0.18"/>
    <x v="8"/>
    <n v="198240"/>
    <x v="0"/>
    <x v="2"/>
    <x v="0"/>
  </r>
  <r>
    <s v="TXN-1010"/>
    <x v="9"/>
    <x v="0"/>
    <x v="3"/>
    <n v="5402"/>
    <x v="7"/>
    <s v="Internal audit review"/>
    <x v="9"/>
    <x v="1"/>
    <x v="0"/>
    <n v="48400"/>
    <n v="0.18"/>
    <x v="9"/>
    <n v="57112"/>
    <x v="0"/>
    <x v="1"/>
    <x v="0"/>
  </r>
  <r>
    <s v="TXN-1011"/>
    <x v="10"/>
    <x v="0"/>
    <x v="0"/>
    <n v="4003"/>
    <x v="0"/>
    <s v="Support retainer"/>
    <x v="10"/>
    <x v="0"/>
    <x v="0"/>
    <n v="86450"/>
    <n v="0.18"/>
    <x v="10"/>
    <n v="102011"/>
    <x v="0"/>
    <x v="3"/>
    <x v="1"/>
  </r>
  <r>
    <s v="TXN-1012"/>
    <x v="11"/>
    <x v="0"/>
    <x v="5"/>
    <n v="5104"/>
    <x v="8"/>
    <s v="Video production charges"/>
    <x v="11"/>
    <x v="1"/>
    <x v="0"/>
    <n v="61100"/>
    <n v="0.18"/>
    <x v="11"/>
    <n v="72098"/>
    <x v="1"/>
    <x v="2"/>
    <x v="1"/>
  </r>
  <r>
    <s v="TXN-1013"/>
    <x v="12"/>
    <x v="0"/>
    <x v="4"/>
    <n v="5501"/>
    <x v="4"/>
    <s v="Cybersecurity license"/>
    <x v="12"/>
    <x v="1"/>
    <x v="1"/>
    <n v="69840"/>
    <n v="0.18"/>
    <x v="12"/>
    <n v="82411"/>
    <x v="0"/>
    <x v="3"/>
    <x v="0"/>
  </r>
  <r>
    <s v="TXN-1014"/>
    <x v="13"/>
    <x v="0"/>
    <x v="2"/>
    <n v="5303"/>
    <x v="9"/>
    <s v="Job portal annual plan"/>
    <x v="13"/>
    <x v="1"/>
    <x v="1"/>
    <n v="40000"/>
    <n v="0.18"/>
    <x v="13"/>
    <n v="47200"/>
    <x v="0"/>
    <x v="1"/>
    <x v="1"/>
  </r>
  <r>
    <s v="TXN-1015"/>
    <x v="14"/>
    <x v="0"/>
    <x v="0"/>
    <n v="4002"/>
    <x v="0"/>
    <s v="Implementation milestone billing"/>
    <x v="14"/>
    <x v="0"/>
    <x v="0"/>
    <n v="216300"/>
    <n v="0.18"/>
    <x v="14"/>
    <n v="255234"/>
    <x v="0"/>
    <x v="1"/>
    <x v="0"/>
  </r>
  <r>
    <s v="TXN-1016"/>
    <x v="15"/>
    <x v="0"/>
    <x v="0"/>
    <n v="4003"/>
    <x v="0"/>
    <s v="Renewal subscription"/>
    <x v="7"/>
    <x v="0"/>
    <x v="0"/>
    <n v="185500"/>
    <n v="0.18"/>
    <x v="15"/>
    <n v="218890"/>
    <x v="1"/>
    <x v="0"/>
    <x v="0"/>
  </r>
  <r>
    <s v="TXN-1017"/>
    <x v="16"/>
    <x v="0"/>
    <x v="5"/>
    <n v="5105"/>
    <x v="10"/>
    <s v="Public relations retainer"/>
    <x v="15"/>
    <x v="1"/>
    <x v="0"/>
    <n v="54500"/>
    <n v="0.18"/>
    <x v="16"/>
    <n v="64310"/>
    <x v="0"/>
    <x v="1"/>
    <x v="1"/>
  </r>
  <r>
    <s v="TXN-1018"/>
    <x v="17"/>
    <x v="0"/>
    <x v="5"/>
    <n v="5102"/>
    <x v="11"/>
    <s v="Digital ad campaign"/>
    <x v="16"/>
    <x v="1"/>
    <x v="1"/>
    <n v="50400"/>
    <n v="0.18"/>
    <x v="17"/>
    <n v="59472"/>
    <x v="0"/>
    <x v="3"/>
    <x v="1"/>
  </r>
  <r>
    <s v="TXN-1019"/>
    <x v="18"/>
    <x v="0"/>
    <x v="1"/>
    <n v="5201"/>
    <x v="1"/>
    <s v="Monthly office rent"/>
    <x v="1"/>
    <x v="1"/>
    <x v="0"/>
    <n v="70400"/>
    <n v="0.18"/>
    <x v="18"/>
    <n v="83072"/>
    <x v="0"/>
    <x v="1"/>
    <x v="0"/>
  </r>
  <r>
    <s v="TXN-1020"/>
    <x v="19"/>
    <x v="0"/>
    <x v="2"/>
    <n v="5301"/>
    <x v="2"/>
    <s v="Contract recruiter payout"/>
    <x v="2"/>
    <x v="1"/>
    <x v="0"/>
    <n v="27300"/>
    <n v="0.18"/>
    <x v="19"/>
    <n v="32214"/>
    <x v="1"/>
    <x v="0"/>
    <x v="1"/>
  </r>
  <r>
    <s v="TXN-1021"/>
    <x v="20"/>
    <x v="0"/>
    <x v="3"/>
    <n v="4102"/>
    <x v="12"/>
    <s v="Foreign exchange gain"/>
    <x v="17"/>
    <x v="0"/>
    <x v="0"/>
    <n v="11280"/>
    <n v="0"/>
    <x v="20"/>
    <n v="11280"/>
    <x v="0"/>
    <x v="2"/>
    <x v="2"/>
  </r>
  <r>
    <s v="TXN-1022"/>
    <x v="21"/>
    <x v="0"/>
    <x v="0"/>
    <n v="4001"/>
    <x v="0"/>
    <s v="Annual platform subscription"/>
    <x v="5"/>
    <x v="0"/>
    <x v="0"/>
    <n v="291000"/>
    <n v="0.18"/>
    <x v="21"/>
    <n v="343380"/>
    <x v="0"/>
    <x v="0"/>
    <x v="0"/>
  </r>
  <r>
    <s v="TXN-1023"/>
    <x v="22"/>
    <x v="0"/>
    <x v="1"/>
    <n v="5202"/>
    <x v="13"/>
    <s v="Electricity bill"/>
    <x v="18"/>
    <x v="1"/>
    <x v="2"/>
    <n v="15000"/>
    <n v="0.18"/>
    <x v="22"/>
    <n v="17700"/>
    <x v="0"/>
    <x v="0"/>
    <x v="2"/>
  </r>
  <r>
    <s v="TXN-1024"/>
    <x v="23"/>
    <x v="0"/>
    <x v="5"/>
    <n v="5103"/>
    <x v="5"/>
    <s v="Trade expo booth booking"/>
    <x v="6"/>
    <x v="1"/>
    <x v="0"/>
    <n v="92700"/>
    <n v="0.18"/>
    <x v="23"/>
    <n v="109386"/>
    <x v="1"/>
    <x v="2"/>
    <x v="0"/>
  </r>
  <r>
    <s v="TXN-1025"/>
    <x v="24"/>
    <x v="0"/>
    <x v="2"/>
    <n v="5302"/>
    <x v="14"/>
    <s v="Leadership workshop"/>
    <x v="19"/>
    <x v="1"/>
    <x v="1"/>
    <n v="23320"/>
    <n v="0.18"/>
    <x v="24"/>
    <n v="27518"/>
    <x v="0"/>
    <x v="3"/>
    <x v="1"/>
  </r>
  <r>
    <s v="TXN-1026"/>
    <x v="25"/>
    <x v="0"/>
    <x v="0"/>
    <n v="4002"/>
    <x v="0"/>
    <s v="Implementation services"/>
    <x v="20"/>
    <x v="0"/>
    <x v="2"/>
    <n v="130800"/>
    <n v="0.18"/>
    <x v="25"/>
    <n v="154344"/>
    <x v="0"/>
    <x v="3"/>
    <x v="0"/>
  </r>
  <r>
    <s v="TXN-1027"/>
    <x v="26"/>
    <x v="0"/>
    <x v="3"/>
    <n v="5402"/>
    <x v="7"/>
    <s v="Internal audit review"/>
    <x v="9"/>
    <x v="1"/>
    <x v="0"/>
    <n v="61600"/>
    <n v="0.18"/>
    <x v="26"/>
    <n v="72688"/>
    <x v="0"/>
    <x v="1"/>
    <x v="0"/>
  </r>
  <r>
    <s v="TXN-1028"/>
    <x v="27"/>
    <x v="0"/>
    <x v="1"/>
    <n v="5203"/>
    <x v="15"/>
    <s v="Client site visit travel"/>
    <x v="21"/>
    <x v="1"/>
    <x v="1"/>
    <n v="23760"/>
    <n v="0.05"/>
    <x v="27"/>
    <n v="24948"/>
    <x v="1"/>
    <x v="2"/>
    <x v="1"/>
  </r>
  <r>
    <s v="TXN-1029"/>
    <x v="28"/>
    <x v="0"/>
    <x v="3"/>
    <n v="4102"/>
    <x v="12"/>
    <s v="Foreign exchange gain"/>
    <x v="17"/>
    <x v="0"/>
    <x v="0"/>
    <n v="10920"/>
    <n v="0"/>
    <x v="20"/>
    <n v="10920"/>
    <x v="0"/>
    <x v="2"/>
    <x v="2"/>
  </r>
  <r>
    <s v="TXN-1030"/>
    <x v="29"/>
    <x v="0"/>
    <x v="4"/>
    <n v="5501"/>
    <x v="4"/>
    <s v="Cybersecurity license"/>
    <x v="12"/>
    <x v="1"/>
    <x v="1"/>
    <n v="67680"/>
    <n v="0.18"/>
    <x v="28"/>
    <n v="79862"/>
    <x v="0"/>
    <x v="3"/>
    <x v="0"/>
  </r>
  <r>
    <s v="TXN-1031"/>
    <x v="30"/>
    <x v="0"/>
    <x v="0"/>
    <n v="4002"/>
    <x v="0"/>
    <s v="Implementation milestone billing"/>
    <x v="14"/>
    <x v="0"/>
    <x v="0"/>
    <n v="203700"/>
    <n v="0.18"/>
    <x v="29"/>
    <n v="240366"/>
    <x v="0"/>
    <x v="1"/>
    <x v="0"/>
  </r>
  <r>
    <s v="TXN-1032"/>
    <x v="31"/>
    <x v="1"/>
    <x v="3"/>
    <n v="5403"/>
    <x v="16"/>
    <s v="Contract review charges"/>
    <x v="22"/>
    <x v="1"/>
    <x v="0"/>
    <n v="47000"/>
    <n v="0.18"/>
    <x v="30"/>
    <n v="55460"/>
    <x v="1"/>
    <x v="2"/>
    <x v="0"/>
  </r>
  <r>
    <s v="TXN-1033"/>
    <x v="32"/>
    <x v="1"/>
    <x v="1"/>
    <n v="5204"/>
    <x v="17"/>
    <s v="Office maintenance contract"/>
    <x v="23"/>
    <x v="1"/>
    <x v="2"/>
    <n v="25750"/>
    <n v="0.18"/>
    <x v="31"/>
    <n v="30385"/>
    <x v="0"/>
    <x v="3"/>
    <x v="2"/>
  </r>
  <r>
    <s v="TXN-1034"/>
    <x v="33"/>
    <x v="1"/>
    <x v="5"/>
    <n v="5105"/>
    <x v="10"/>
    <s v="Public relations retainer"/>
    <x v="15"/>
    <x v="1"/>
    <x v="0"/>
    <n v="53000"/>
    <n v="0.18"/>
    <x v="32"/>
    <n v="62540"/>
    <x v="0"/>
    <x v="1"/>
    <x v="1"/>
  </r>
  <r>
    <s v="TXN-1035"/>
    <x v="34"/>
    <x v="1"/>
    <x v="5"/>
    <n v="5102"/>
    <x v="11"/>
    <s v="Digital ad campaign"/>
    <x v="16"/>
    <x v="1"/>
    <x v="1"/>
    <n v="49050"/>
    <n v="0.18"/>
    <x v="33"/>
    <n v="57879"/>
    <x v="0"/>
    <x v="3"/>
    <x v="1"/>
  </r>
  <r>
    <s v="TXN-1036"/>
    <x v="35"/>
    <x v="1"/>
    <x v="3"/>
    <n v="4101"/>
    <x v="18"/>
    <s v="Fixed deposit interest"/>
    <x v="24"/>
    <x v="0"/>
    <x v="0"/>
    <n v="20160"/>
    <n v="0"/>
    <x v="20"/>
    <n v="20160"/>
    <x v="1"/>
    <x v="1"/>
    <x v="2"/>
  </r>
  <r>
    <s v="TXN-1037"/>
    <x v="36"/>
    <x v="1"/>
    <x v="2"/>
    <n v="5301"/>
    <x v="2"/>
    <s v="Contract recruiter payout"/>
    <x v="2"/>
    <x v="1"/>
    <x v="0"/>
    <n v="26400"/>
    <n v="0.18"/>
    <x v="34"/>
    <n v="31152"/>
    <x v="0"/>
    <x v="0"/>
    <x v="1"/>
  </r>
  <r>
    <s v="TXN-1038"/>
    <x v="37"/>
    <x v="1"/>
    <x v="3"/>
    <n v="5401"/>
    <x v="3"/>
    <s v="Quarterly tax advisory"/>
    <x v="3"/>
    <x v="1"/>
    <x v="0"/>
    <n v="54600"/>
    <n v="0.18"/>
    <x v="35"/>
    <n v="64428"/>
    <x v="0"/>
    <x v="2"/>
    <x v="0"/>
  </r>
  <r>
    <s v="TXN-1039"/>
    <x v="38"/>
    <x v="1"/>
    <x v="4"/>
    <n v="5501"/>
    <x v="4"/>
    <s v="CRM annual subscription"/>
    <x v="4"/>
    <x v="1"/>
    <x v="1"/>
    <n v="67680"/>
    <n v="0.18"/>
    <x v="28"/>
    <n v="79862"/>
    <x v="0"/>
    <x v="1"/>
    <x v="0"/>
  </r>
  <r>
    <s v="TXN-1040"/>
    <x v="39"/>
    <x v="1"/>
    <x v="1"/>
    <n v="5202"/>
    <x v="13"/>
    <s v="Electricity bill"/>
    <x v="18"/>
    <x v="1"/>
    <x v="2"/>
    <n v="14550"/>
    <n v="0.18"/>
    <x v="36"/>
    <n v="17169"/>
    <x v="1"/>
    <x v="0"/>
    <x v="2"/>
  </r>
  <r>
    <s v="TXN-1041"/>
    <x v="40"/>
    <x v="1"/>
    <x v="0"/>
    <n v="4001"/>
    <x v="0"/>
    <s v="Enterprise software license"/>
    <x v="0"/>
    <x v="0"/>
    <x v="0"/>
    <n v="250000"/>
    <n v="0.18"/>
    <x v="37"/>
    <n v="295000"/>
    <x v="0"/>
    <x v="0"/>
    <x v="0"/>
  </r>
  <r>
    <s v="TXN-1042"/>
    <x v="41"/>
    <x v="1"/>
    <x v="2"/>
    <n v="5302"/>
    <x v="14"/>
    <s v="Leadership workshop"/>
    <x v="19"/>
    <x v="1"/>
    <x v="1"/>
    <n v="22660"/>
    <n v="0.18"/>
    <x v="38"/>
    <n v="26739"/>
    <x v="0"/>
    <x v="3"/>
    <x v="1"/>
  </r>
  <r>
    <s v="TXN-1043"/>
    <x v="42"/>
    <x v="1"/>
    <x v="0"/>
    <n v="4003"/>
    <x v="0"/>
    <s v="Support retainer"/>
    <x v="10"/>
    <x v="0"/>
    <x v="0"/>
    <n v="100700"/>
    <n v="0.18"/>
    <x v="39"/>
    <n v="118826"/>
    <x v="0"/>
    <x v="3"/>
    <x v="1"/>
  </r>
  <r>
    <s v="TXN-1044"/>
    <x v="43"/>
    <x v="1"/>
    <x v="3"/>
    <n v="5402"/>
    <x v="7"/>
    <s v="Internal audit review"/>
    <x v="9"/>
    <x v="1"/>
    <x v="0"/>
    <n v="59950"/>
    <n v="0.18"/>
    <x v="40"/>
    <n v="70741"/>
    <x v="1"/>
    <x v="1"/>
    <x v="0"/>
  </r>
  <r>
    <s v="TXN-1045"/>
    <x v="44"/>
    <x v="1"/>
    <x v="1"/>
    <n v="5203"/>
    <x v="15"/>
    <s v="Client site visit travel"/>
    <x v="21"/>
    <x v="1"/>
    <x v="1"/>
    <n v="30240"/>
    <n v="0.05"/>
    <x v="41"/>
    <n v="31752"/>
    <x v="0"/>
    <x v="2"/>
    <x v="1"/>
  </r>
  <r>
    <s v="TXN-1046"/>
    <x v="45"/>
    <x v="1"/>
    <x v="0"/>
    <n v="4001"/>
    <x v="0"/>
    <s v="Annual platform subscription"/>
    <x v="5"/>
    <x v="0"/>
    <x v="0"/>
    <n v="264000"/>
    <n v="0.18"/>
    <x v="42"/>
    <n v="311520"/>
    <x v="0"/>
    <x v="0"/>
    <x v="0"/>
  </r>
  <r>
    <s v="TXN-1047"/>
    <x v="46"/>
    <x v="1"/>
    <x v="4"/>
    <n v="5501"/>
    <x v="4"/>
    <s v="Cybersecurity license"/>
    <x v="12"/>
    <x v="1"/>
    <x v="1"/>
    <n v="65520"/>
    <n v="0.18"/>
    <x v="43"/>
    <n v="77314"/>
    <x v="0"/>
    <x v="3"/>
    <x v="0"/>
  </r>
  <r>
    <s v="TXN-1048"/>
    <x v="47"/>
    <x v="1"/>
    <x v="2"/>
    <n v="5303"/>
    <x v="9"/>
    <s v="Job portal annual plan"/>
    <x v="13"/>
    <x v="1"/>
    <x v="1"/>
    <n v="37600"/>
    <n v="0.18"/>
    <x v="44"/>
    <n v="44368"/>
    <x v="1"/>
    <x v="1"/>
    <x v="1"/>
  </r>
  <r>
    <s v="TXN-1049"/>
    <x v="48"/>
    <x v="1"/>
    <x v="3"/>
    <n v="5403"/>
    <x v="16"/>
    <s v="Contract review charges"/>
    <x v="22"/>
    <x v="1"/>
    <x v="0"/>
    <n v="45590"/>
    <n v="0.18"/>
    <x v="45"/>
    <n v="53796"/>
    <x v="0"/>
    <x v="2"/>
    <x v="0"/>
  </r>
  <r>
    <s v="TXN-1050"/>
    <x v="49"/>
    <x v="1"/>
    <x v="0"/>
    <n v="4002"/>
    <x v="0"/>
    <s v="Implementation services"/>
    <x v="20"/>
    <x v="0"/>
    <x v="2"/>
    <n v="120000"/>
    <n v="0.18"/>
    <x v="46"/>
    <n v="141600"/>
    <x v="0"/>
    <x v="3"/>
    <x v="0"/>
  </r>
  <r>
    <s v="TXN-1051"/>
    <x v="50"/>
    <x v="1"/>
    <x v="0"/>
    <n v="4003"/>
    <x v="0"/>
    <s v="Support retainer"/>
    <x v="10"/>
    <x v="0"/>
    <x v="0"/>
    <n v="97850"/>
    <n v="0.18"/>
    <x v="47"/>
    <n v="115463"/>
    <x v="0"/>
    <x v="3"/>
    <x v="1"/>
  </r>
  <r>
    <s v="TXN-1052"/>
    <x v="51"/>
    <x v="1"/>
    <x v="5"/>
    <n v="5102"/>
    <x v="11"/>
    <s v="Digital ad campaign"/>
    <x v="16"/>
    <x v="1"/>
    <x v="1"/>
    <n v="47700"/>
    <n v="0.18"/>
    <x v="48"/>
    <n v="56286"/>
    <x v="1"/>
    <x v="3"/>
    <x v="1"/>
  </r>
  <r>
    <s v="TXN-1053"/>
    <x v="52"/>
    <x v="1"/>
    <x v="1"/>
    <n v="5201"/>
    <x v="1"/>
    <s v="Monthly office rent"/>
    <x v="1"/>
    <x v="1"/>
    <x v="0"/>
    <n v="87200"/>
    <n v="0.18"/>
    <x v="49"/>
    <n v="102896"/>
    <x v="0"/>
    <x v="1"/>
    <x v="0"/>
  </r>
  <r>
    <s v="TXN-1054"/>
    <x v="53"/>
    <x v="1"/>
    <x v="2"/>
    <n v="5301"/>
    <x v="2"/>
    <s v="Contract recruiter payout"/>
    <x v="2"/>
    <x v="1"/>
    <x v="0"/>
    <n v="33600"/>
    <n v="0.18"/>
    <x v="50"/>
    <n v="39648"/>
    <x v="0"/>
    <x v="0"/>
    <x v="1"/>
  </r>
  <r>
    <s v="TXN-1055"/>
    <x v="54"/>
    <x v="1"/>
    <x v="3"/>
    <n v="5401"/>
    <x v="3"/>
    <s v="Quarterly tax advisory"/>
    <x v="3"/>
    <x v="1"/>
    <x v="0"/>
    <n v="52800"/>
    <n v="0.18"/>
    <x v="51"/>
    <n v="62304"/>
    <x v="0"/>
    <x v="2"/>
    <x v="0"/>
  </r>
  <r>
    <s v="TXN-1056"/>
    <x v="55"/>
    <x v="1"/>
    <x v="0"/>
    <n v="4003"/>
    <x v="0"/>
    <s v="Renewal subscription"/>
    <x v="7"/>
    <x v="0"/>
    <x v="0"/>
    <n v="159250"/>
    <n v="0.18"/>
    <x v="52"/>
    <n v="187915"/>
    <x v="1"/>
    <x v="0"/>
    <x v="0"/>
  </r>
  <r>
    <s v="TXN-1057"/>
    <x v="56"/>
    <x v="1"/>
    <x v="0"/>
    <n v="4001"/>
    <x v="0"/>
    <s v="Enterprise software license"/>
    <x v="0"/>
    <x v="0"/>
    <x v="0"/>
    <n v="235000"/>
    <n v="0.18"/>
    <x v="53"/>
    <n v="277300"/>
    <x v="0"/>
    <x v="0"/>
    <x v="0"/>
  </r>
  <r>
    <s v="TXN-1058"/>
    <x v="57"/>
    <x v="1"/>
    <x v="5"/>
    <n v="5103"/>
    <x v="5"/>
    <s v="Trade expo booth booking"/>
    <x v="6"/>
    <x v="1"/>
    <x v="0"/>
    <n v="87300"/>
    <n v="0.18"/>
    <x v="54"/>
    <n v="103014"/>
    <x v="0"/>
    <x v="2"/>
    <x v="0"/>
  </r>
  <r>
    <s v="TXN-1059"/>
    <x v="58"/>
    <x v="1"/>
    <x v="2"/>
    <n v="5302"/>
    <x v="14"/>
    <s v="Leadership workshop"/>
    <x v="19"/>
    <x v="1"/>
    <x v="1"/>
    <n v="22000"/>
    <n v="0.18"/>
    <x v="55"/>
    <n v="25960"/>
    <x v="0"/>
    <x v="3"/>
    <x v="1"/>
  </r>
  <r>
    <s v="TXN-1060"/>
    <x v="59"/>
    <x v="2"/>
    <x v="4"/>
    <n v="5502"/>
    <x v="6"/>
    <s v="Laptops for new hires"/>
    <x v="8"/>
    <x v="1"/>
    <x v="0"/>
    <n v="154500"/>
    <n v="0.18"/>
    <x v="56"/>
    <n v="182310"/>
    <x v="1"/>
    <x v="2"/>
    <x v="0"/>
  </r>
  <r>
    <s v="TXN-1061"/>
    <x v="60"/>
    <x v="2"/>
    <x v="3"/>
    <n v="4102"/>
    <x v="12"/>
    <s v="Foreign exchange gain"/>
    <x v="17"/>
    <x v="0"/>
    <x v="0"/>
    <n v="12720"/>
    <n v="0"/>
    <x v="20"/>
    <n v="12720"/>
    <x v="0"/>
    <x v="2"/>
    <x v="2"/>
  </r>
  <r>
    <s v="TXN-1062"/>
    <x v="61"/>
    <x v="2"/>
    <x v="1"/>
    <n v="5203"/>
    <x v="15"/>
    <s v="Client site visit travel"/>
    <x v="21"/>
    <x v="1"/>
    <x v="1"/>
    <n v="29430"/>
    <n v="0.05"/>
    <x v="57"/>
    <n v="30902"/>
    <x v="0"/>
    <x v="2"/>
    <x v="1"/>
  </r>
  <r>
    <s v="TXN-1063"/>
    <x v="62"/>
    <x v="2"/>
    <x v="5"/>
    <n v="5104"/>
    <x v="8"/>
    <s v="Video production charges"/>
    <x v="11"/>
    <x v="1"/>
    <x v="0"/>
    <n v="72800"/>
    <n v="0.18"/>
    <x v="1"/>
    <n v="85904"/>
    <x v="0"/>
    <x v="2"/>
    <x v="1"/>
  </r>
  <r>
    <s v="TXN-1064"/>
    <x v="63"/>
    <x v="2"/>
    <x v="0"/>
    <n v="4003"/>
    <x v="0"/>
    <s v="Renewal subscription"/>
    <x v="7"/>
    <x v="0"/>
    <x v="0"/>
    <n v="154000"/>
    <n v="0.18"/>
    <x v="58"/>
    <n v="181720"/>
    <x v="1"/>
    <x v="0"/>
    <x v="0"/>
  </r>
  <r>
    <s v="TXN-1065"/>
    <x v="64"/>
    <x v="2"/>
    <x v="2"/>
    <n v="5303"/>
    <x v="9"/>
    <s v="Job portal annual plan"/>
    <x v="13"/>
    <x v="1"/>
    <x v="1"/>
    <n v="36400"/>
    <n v="0.18"/>
    <x v="59"/>
    <n v="42952"/>
    <x v="0"/>
    <x v="1"/>
    <x v="1"/>
  </r>
  <r>
    <s v="TXN-1066"/>
    <x v="65"/>
    <x v="2"/>
    <x v="0"/>
    <n v="4002"/>
    <x v="0"/>
    <s v="Implementation services"/>
    <x v="20"/>
    <x v="0"/>
    <x v="2"/>
    <n v="112800"/>
    <n v="0.18"/>
    <x v="60"/>
    <n v="133104"/>
    <x v="0"/>
    <x v="3"/>
    <x v="0"/>
  </r>
  <r>
    <s v="TXN-1067"/>
    <x v="66"/>
    <x v="2"/>
    <x v="1"/>
    <n v="5204"/>
    <x v="17"/>
    <s v="Office maintenance contract"/>
    <x v="23"/>
    <x v="1"/>
    <x v="2"/>
    <n v="24250"/>
    <n v="0.18"/>
    <x v="61"/>
    <n v="28615"/>
    <x v="0"/>
    <x v="3"/>
    <x v="2"/>
  </r>
  <r>
    <s v="TXN-1068"/>
    <x v="67"/>
    <x v="2"/>
    <x v="5"/>
    <n v="5105"/>
    <x v="10"/>
    <s v="Public relations retainer"/>
    <x v="15"/>
    <x v="1"/>
    <x v="0"/>
    <n v="50000"/>
    <n v="0.18"/>
    <x v="62"/>
    <n v="59000"/>
    <x v="1"/>
    <x v="1"/>
    <x v="1"/>
  </r>
  <r>
    <s v="TXN-1069"/>
    <x v="68"/>
    <x v="2"/>
    <x v="5"/>
    <n v="5102"/>
    <x v="11"/>
    <s v="Digital ad campaign"/>
    <x v="16"/>
    <x v="1"/>
    <x v="1"/>
    <n v="46350"/>
    <n v="0.18"/>
    <x v="63"/>
    <n v="54693"/>
    <x v="0"/>
    <x v="3"/>
    <x v="1"/>
  </r>
  <r>
    <s v="TXN-1070"/>
    <x v="69"/>
    <x v="2"/>
    <x v="1"/>
    <n v="5201"/>
    <x v="1"/>
    <s v="Monthly office rent"/>
    <x v="1"/>
    <x v="1"/>
    <x v="0"/>
    <n v="84800"/>
    <n v="0.18"/>
    <x v="64"/>
    <n v="100064"/>
    <x v="0"/>
    <x v="1"/>
    <x v="0"/>
  </r>
  <r>
    <s v="TXN-1071"/>
    <x v="70"/>
    <x v="2"/>
    <x v="0"/>
    <n v="4002"/>
    <x v="0"/>
    <s v="Implementation milestone billing"/>
    <x v="14"/>
    <x v="0"/>
    <x v="0"/>
    <n v="228900"/>
    <n v="0.18"/>
    <x v="65"/>
    <n v="270102"/>
    <x v="0"/>
    <x v="1"/>
    <x v="0"/>
  </r>
  <r>
    <s v="TXN-1072"/>
    <x v="71"/>
    <x v="2"/>
    <x v="3"/>
    <n v="5401"/>
    <x v="3"/>
    <s v="Quarterly tax advisory"/>
    <x v="3"/>
    <x v="1"/>
    <x v="0"/>
    <n v="67200"/>
    <n v="0.18"/>
    <x v="66"/>
    <n v="79296"/>
    <x v="1"/>
    <x v="2"/>
    <x v="0"/>
  </r>
  <r>
    <s v="TXN-1073"/>
    <x v="72"/>
    <x v="2"/>
    <x v="4"/>
    <n v="5501"/>
    <x v="4"/>
    <s v="CRM annual subscription"/>
    <x v="4"/>
    <x v="1"/>
    <x v="1"/>
    <n v="63360"/>
    <n v="0.18"/>
    <x v="67"/>
    <n v="74765"/>
    <x v="0"/>
    <x v="1"/>
    <x v="0"/>
  </r>
  <r>
    <s v="TXN-1074"/>
    <x v="73"/>
    <x v="2"/>
    <x v="1"/>
    <n v="5202"/>
    <x v="13"/>
    <s v="Electricity bill"/>
    <x v="18"/>
    <x v="1"/>
    <x v="2"/>
    <n v="13650"/>
    <n v="0.18"/>
    <x v="68"/>
    <n v="16107"/>
    <x v="0"/>
    <x v="0"/>
    <x v="2"/>
  </r>
  <r>
    <s v="TXN-1075"/>
    <x v="74"/>
    <x v="2"/>
    <x v="5"/>
    <n v="5103"/>
    <x v="5"/>
    <s v="Trade expo booth booking"/>
    <x v="6"/>
    <x v="1"/>
    <x v="0"/>
    <n v="84600"/>
    <n v="0.18"/>
    <x v="69"/>
    <n v="99828"/>
    <x v="0"/>
    <x v="2"/>
    <x v="0"/>
  </r>
  <r>
    <s v="TXN-1076"/>
    <x v="75"/>
    <x v="2"/>
    <x v="3"/>
    <n v="4101"/>
    <x v="18"/>
    <s v="Fixed deposit interest"/>
    <x v="24"/>
    <x v="0"/>
    <x v="0"/>
    <n v="17460"/>
    <n v="0"/>
    <x v="20"/>
    <n v="17460"/>
    <x v="1"/>
    <x v="1"/>
    <x v="2"/>
  </r>
  <r>
    <s v="TXN-1077"/>
    <x v="76"/>
    <x v="2"/>
    <x v="4"/>
    <n v="5502"/>
    <x v="6"/>
    <s v="Laptops for new hires"/>
    <x v="8"/>
    <x v="1"/>
    <x v="0"/>
    <n v="150000"/>
    <n v="0.18"/>
    <x v="70"/>
    <n v="177000"/>
    <x v="0"/>
    <x v="2"/>
    <x v="0"/>
  </r>
  <r>
    <s v="TXN-1078"/>
    <x v="77"/>
    <x v="2"/>
    <x v="0"/>
    <n v="4001"/>
    <x v="0"/>
    <s v="Annual platform subscription"/>
    <x v="5"/>
    <x v="0"/>
    <x v="0"/>
    <n v="309000"/>
    <n v="0.18"/>
    <x v="5"/>
    <n v="364620"/>
    <x v="0"/>
    <x v="0"/>
    <x v="0"/>
  </r>
  <r>
    <s v="TXN-1079"/>
    <x v="78"/>
    <x v="2"/>
    <x v="1"/>
    <n v="5203"/>
    <x v="15"/>
    <s v="Client site visit travel"/>
    <x v="21"/>
    <x v="1"/>
    <x v="1"/>
    <n v="28620"/>
    <n v="0.05"/>
    <x v="71"/>
    <n v="30051"/>
    <x v="0"/>
    <x v="2"/>
    <x v="1"/>
  </r>
  <r>
    <s v="TXN-1080"/>
    <x v="79"/>
    <x v="2"/>
    <x v="5"/>
    <n v="5104"/>
    <x v="8"/>
    <s v="Video production charges"/>
    <x v="11"/>
    <x v="1"/>
    <x v="0"/>
    <n v="70850"/>
    <n v="0.18"/>
    <x v="72"/>
    <n v="83603"/>
    <x v="1"/>
    <x v="2"/>
    <x v="1"/>
  </r>
  <r>
    <s v="TXN-1081"/>
    <x v="80"/>
    <x v="2"/>
    <x v="0"/>
    <n v="4001"/>
    <x v="0"/>
    <s v="Enterprise software license"/>
    <x v="0"/>
    <x v="0"/>
    <x v="0"/>
    <n v="280000"/>
    <n v="0.18"/>
    <x v="73"/>
    <n v="330400"/>
    <x v="0"/>
    <x v="0"/>
    <x v="0"/>
  </r>
  <r>
    <s v="TXN-1082"/>
    <x v="81"/>
    <x v="2"/>
    <x v="2"/>
    <n v="5303"/>
    <x v="9"/>
    <s v="Job portal annual plan"/>
    <x v="13"/>
    <x v="1"/>
    <x v="1"/>
    <n v="35200"/>
    <n v="0.18"/>
    <x v="74"/>
    <n v="41536"/>
    <x v="0"/>
    <x v="1"/>
    <x v="1"/>
  </r>
  <r>
    <s v="TXN-1083"/>
    <x v="82"/>
    <x v="2"/>
    <x v="3"/>
    <n v="5403"/>
    <x v="16"/>
    <s v="Contract review charges"/>
    <x v="22"/>
    <x v="1"/>
    <x v="0"/>
    <n v="42770"/>
    <n v="0.18"/>
    <x v="75"/>
    <n v="50469"/>
    <x v="0"/>
    <x v="2"/>
    <x v="0"/>
  </r>
  <r>
    <s v="TXN-1084"/>
    <x v="83"/>
    <x v="2"/>
    <x v="1"/>
    <n v="5204"/>
    <x v="17"/>
    <s v="Office maintenance contract"/>
    <x v="23"/>
    <x v="1"/>
    <x v="2"/>
    <n v="23500"/>
    <n v="0.18"/>
    <x v="76"/>
    <n v="27730"/>
    <x v="1"/>
    <x v="3"/>
    <x v="2"/>
  </r>
  <r>
    <s v="TXN-1085"/>
    <x v="84"/>
    <x v="2"/>
    <x v="3"/>
    <n v="4102"/>
    <x v="12"/>
    <s v="Foreign exchange gain"/>
    <x v="17"/>
    <x v="0"/>
    <x v="0"/>
    <n v="11640"/>
    <n v="0"/>
    <x v="20"/>
    <n v="11640"/>
    <x v="0"/>
    <x v="2"/>
    <x v="2"/>
  </r>
  <r>
    <s v="TXN-1086"/>
    <x v="85"/>
    <x v="2"/>
    <x v="0"/>
    <n v="4001"/>
    <x v="0"/>
    <s v="Annual platform subscription"/>
    <x v="5"/>
    <x v="0"/>
    <x v="0"/>
    <n v="300000"/>
    <n v="0.18"/>
    <x v="77"/>
    <n v="354000"/>
    <x v="0"/>
    <x v="0"/>
    <x v="0"/>
  </r>
  <r>
    <s v="TXN-1087"/>
    <x v="86"/>
    <x v="2"/>
    <x v="1"/>
    <n v="5201"/>
    <x v="1"/>
    <s v="Monthly office rent"/>
    <x v="1"/>
    <x v="1"/>
    <x v="0"/>
    <n v="82400"/>
    <n v="0.18"/>
    <x v="78"/>
    <n v="97232"/>
    <x v="0"/>
    <x v="1"/>
    <x v="0"/>
  </r>
  <r>
    <s v="TXN-1088"/>
    <x v="87"/>
    <x v="2"/>
    <x v="2"/>
    <n v="5301"/>
    <x v="2"/>
    <s v="Contract recruiter payout"/>
    <x v="2"/>
    <x v="1"/>
    <x v="0"/>
    <n v="31800"/>
    <n v="0.18"/>
    <x v="79"/>
    <n v="37524"/>
    <x v="1"/>
    <x v="0"/>
    <x v="1"/>
  </r>
  <r>
    <s v="TXN-1089"/>
    <x v="88"/>
    <x v="2"/>
    <x v="3"/>
    <n v="5401"/>
    <x v="3"/>
    <s v="Quarterly tax advisory"/>
    <x v="3"/>
    <x v="1"/>
    <x v="0"/>
    <n v="65400"/>
    <n v="0.18"/>
    <x v="80"/>
    <n v="77172"/>
    <x v="0"/>
    <x v="2"/>
    <x v="0"/>
  </r>
  <r>
    <s v="TXN-1090"/>
    <x v="89"/>
    <x v="2"/>
    <x v="4"/>
    <n v="5501"/>
    <x v="4"/>
    <s v="CRM annual subscription"/>
    <x v="4"/>
    <x v="1"/>
    <x v="1"/>
    <n v="80640"/>
    <n v="0.18"/>
    <x v="81"/>
    <n v="95155"/>
    <x v="0"/>
    <x v="1"/>
    <x v="0"/>
  </r>
  <r>
    <s v="TXN-1091"/>
    <x v="90"/>
    <x v="3"/>
    <x v="0"/>
    <n v="4003"/>
    <x v="0"/>
    <s v="Support retainer"/>
    <x v="10"/>
    <x v="0"/>
    <x v="0"/>
    <n v="83600"/>
    <n v="0.18"/>
    <x v="82"/>
    <n v="98648"/>
    <x v="0"/>
    <x v="3"/>
    <x v="1"/>
  </r>
  <r>
    <s v="TXN-1092"/>
    <x v="91"/>
    <x v="3"/>
    <x v="3"/>
    <n v="4101"/>
    <x v="18"/>
    <s v="Fixed deposit interest"/>
    <x v="24"/>
    <x v="0"/>
    <x v="0"/>
    <n v="16380"/>
    <n v="0"/>
    <x v="20"/>
    <n v="16380"/>
    <x v="1"/>
    <x v="1"/>
    <x v="2"/>
  </r>
  <r>
    <s v="TXN-1093"/>
    <x v="92"/>
    <x v="3"/>
    <x v="2"/>
    <n v="5302"/>
    <x v="14"/>
    <s v="Leadership workshop"/>
    <x v="19"/>
    <x v="1"/>
    <x v="1"/>
    <n v="20680"/>
    <n v="0.18"/>
    <x v="83"/>
    <n v="24402"/>
    <x v="0"/>
    <x v="3"/>
    <x v="1"/>
  </r>
  <r>
    <s v="TXN-1094"/>
    <x v="93"/>
    <x v="3"/>
    <x v="4"/>
    <n v="5502"/>
    <x v="6"/>
    <s v="Laptops for new hires"/>
    <x v="8"/>
    <x v="1"/>
    <x v="0"/>
    <n v="145500"/>
    <n v="0.18"/>
    <x v="84"/>
    <n v="171690"/>
    <x v="0"/>
    <x v="2"/>
    <x v="0"/>
  </r>
  <r>
    <s v="TXN-1095"/>
    <x v="94"/>
    <x v="3"/>
    <x v="3"/>
    <n v="5402"/>
    <x v="7"/>
    <s v="Internal audit review"/>
    <x v="9"/>
    <x v="1"/>
    <x v="0"/>
    <n v="55000"/>
    <n v="0.18"/>
    <x v="85"/>
    <n v="64900"/>
    <x v="0"/>
    <x v="1"/>
    <x v="0"/>
  </r>
  <r>
    <s v="TXN-1096"/>
    <x v="95"/>
    <x v="3"/>
    <x v="0"/>
    <n v="4003"/>
    <x v="0"/>
    <s v="Renewal subscription"/>
    <x v="7"/>
    <x v="0"/>
    <x v="0"/>
    <n v="180250"/>
    <n v="0.18"/>
    <x v="86"/>
    <n v="212695"/>
    <x v="1"/>
    <x v="0"/>
    <x v="0"/>
  </r>
  <r>
    <s v="TXN-1097"/>
    <x v="96"/>
    <x v="3"/>
    <x v="5"/>
    <n v="5104"/>
    <x v="8"/>
    <s v="Video production charges"/>
    <x v="11"/>
    <x v="1"/>
    <x v="0"/>
    <n v="68900"/>
    <n v="0.18"/>
    <x v="87"/>
    <n v="81302"/>
    <x v="0"/>
    <x v="2"/>
    <x v="1"/>
  </r>
  <r>
    <s v="TXN-1098"/>
    <x v="97"/>
    <x v="3"/>
    <x v="4"/>
    <n v="5501"/>
    <x v="4"/>
    <s v="Cybersecurity license"/>
    <x v="12"/>
    <x v="1"/>
    <x v="1"/>
    <n v="78480"/>
    <n v="0.18"/>
    <x v="88"/>
    <n v="92606"/>
    <x v="0"/>
    <x v="3"/>
    <x v="0"/>
  </r>
  <r>
    <s v="TXN-1099"/>
    <x v="98"/>
    <x v="3"/>
    <x v="0"/>
    <n v="4003"/>
    <x v="0"/>
    <s v="Support retainer"/>
    <x v="10"/>
    <x v="0"/>
    <x v="0"/>
    <n v="106400"/>
    <n v="0.18"/>
    <x v="89"/>
    <n v="125552"/>
    <x v="0"/>
    <x v="3"/>
    <x v="1"/>
  </r>
  <r>
    <s v="TXN-1100"/>
    <x v="99"/>
    <x v="3"/>
    <x v="3"/>
    <n v="5403"/>
    <x v="16"/>
    <s v="Contract review charges"/>
    <x v="22"/>
    <x v="1"/>
    <x v="0"/>
    <n v="41360"/>
    <n v="0.18"/>
    <x v="90"/>
    <n v="48805"/>
    <x v="1"/>
    <x v="2"/>
    <x v="0"/>
  </r>
  <r>
    <s v="TXN-1101"/>
    <x v="100"/>
    <x v="3"/>
    <x v="3"/>
    <n v="4102"/>
    <x v="12"/>
    <s v="Foreign exchange gain"/>
    <x v="17"/>
    <x v="0"/>
    <x v="0"/>
    <n v="10920"/>
    <n v="0"/>
    <x v="20"/>
    <n v="10920"/>
    <x v="0"/>
    <x v="2"/>
    <x v="2"/>
  </r>
  <r>
    <s v="TXN-1102"/>
    <x v="101"/>
    <x v="3"/>
    <x v="5"/>
    <n v="5105"/>
    <x v="10"/>
    <s v="Public relations retainer"/>
    <x v="15"/>
    <x v="1"/>
    <x v="0"/>
    <n v="47000"/>
    <n v="0.18"/>
    <x v="30"/>
    <n v="55460"/>
    <x v="0"/>
    <x v="1"/>
    <x v="1"/>
  </r>
  <r>
    <s v="TXN-1103"/>
    <x v="102"/>
    <x v="3"/>
    <x v="5"/>
    <n v="5102"/>
    <x v="11"/>
    <s v="Digital ad campaign"/>
    <x v="16"/>
    <x v="1"/>
    <x v="1"/>
    <n v="43650"/>
    <n v="0.18"/>
    <x v="91"/>
    <n v="51507"/>
    <x v="0"/>
    <x v="3"/>
    <x v="1"/>
  </r>
  <r>
    <s v="TXN-1104"/>
    <x v="103"/>
    <x v="3"/>
    <x v="1"/>
    <n v="5201"/>
    <x v="1"/>
    <s v="Monthly office rent"/>
    <x v="1"/>
    <x v="1"/>
    <x v="0"/>
    <n v="80000"/>
    <n v="0.18"/>
    <x v="92"/>
    <n v="94400"/>
    <x v="1"/>
    <x v="1"/>
    <x v="0"/>
  </r>
  <r>
    <s v="TXN-1105"/>
    <x v="104"/>
    <x v="3"/>
    <x v="2"/>
    <n v="5301"/>
    <x v="2"/>
    <s v="Contract recruiter payout"/>
    <x v="2"/>
    <x v="1"/>
    <x v="0"/>
    <n v="30900"/>
    <n v="0.18"/>
    <x v="93"/>
    <n v="36462"/>
    <x v="0"/>
    <x v="0"/>
    <x v="1"/>
  </r>
  <r>
    <s v="TXN-1106"/>
    <x v="105"/>
    <x v="3"/>
    <x v="0"/>
    <n v="4002"/>
    <x v="0"/>
    <s v="Implementation services"/>
    <x v="20"/>
    <x v="0"/>
    <x v="2"/>
    <n v="127200"/>
    <n v="0.18"/>
    <x v="94"/>
    <n v="150096"/>
    <x v="0"/>
    <x v="3"/>
    <x v="0"/>
  </r>
  <r>
    <s v="TXN-1107"/>
    <x v="106"/>
    <x v="3"/>
    <x v="4"/>
    <n v="5501"/>
    <x v="4"/>
    <s v="CRM annual subscription"/>
    <x v="4"/>
    <x v="1"/>
    <x v="1"/>
    <n v="78480"/>
    <n v="0.18"/>
    <x v="88"/>
    <n v="92606"/>
    <x v="0"/>
    <x v="1"/>
    <x v="0"/>
  </r>
  <r>
    <s v="TXN-1108"/>
    <x v="107"/>
    <x v="3"/>
    <x v="1"/>
    <n v="5202"/>
    <x v="13"/>
    <s v="Electricity bill"/>
    <x v="18"/>
    <x v="1"/>
    <x v="2"/>
    <n v="16800"/>
    <n v="0.18"/>
    <x v="95"/>
    <n v="19824"/>
    <x v="1"/>
    <x v="0"/>
    <x v="2"/>
  </r>
  <r>
    <s v="TXN-1109"/>
    <x v="108"/>
    <x v="3"/>
    <x v="5"/>
    <n v="5103"/>
    <x v="5"/>
    <s v="Trade expo booth booking"/>
    <x v="6"/>
    <x v="1"/>
    <x v="0"/>
    <n v="79200"/>
    <n v="0.18"/>
    <x v="96"/>
    <n v="93456"/>
    <x v="0"/>
    <x v="2"/>
    <x v="0"/>
  </r>
  <r>
    <s v="TXN-1110"/>
    <x v="109"/>
    <x v="3"/>
    <x v="2"/>
    <n v="5302"/>
    <x v="14"/>
    <s v="Leadership workshop"/>
    <x v="19"/>
    <x v="1"/>
    <x v="1"/>
    <n v="20020"/>
    <n v="0.18"/>
    <x v="97"/>
    <n v="23624"/>
    <x v="0"/>
    <x v="3"/>
    <x v="1"/>
  </r>
  <r>
    <s v="TXN-1111"/>
    <x v="110"/>
    <x v="3"/>
    <x v="0"/>
    <n v="4002"/>
    <x v="0"/>
    <s v="Implementation milestone billing"/>
    <x v="14"/>
    <x v="0"/>
    <x v="0"/>
    <n v="197400"/>
    <n v="0.18"/>
    <x v="98"/>
    <n v="232932"/>
    <x v="0"/>
    <x v="1"/>
    <x v="0"/>
  </r>
  <r>
    <s v="TXN-1112"/>
    <x v="111"/>
    <x v="3"/>
    <x v="3"/>
    <n v="5402"/>
    <x v="7"/>
    <s v="Internal audit review"/>
    <x v="9"/>
    <x v="1"/>
    <x v="0"/>
    <n v="53350"/>
    <n v="0.18"/>
    <x v="99"/>
    <n v="62953"/>
    <x v="1"/>
    <x v="1"/>
    <x v="0"/>
  </r>
  <r>
    <s v="TXN-1113"/>
    <x v="112"/>
    <x v="3"/>
    <x v="0"/>
    <n v="4001"/>
    <x v="0"/>
    <s v="Enterprise software license"/>
    <x v="0"/>
    <x v="0"/>
    <x v="0"/>
    <n v="250000"/>
    <n v="0.18"/>
    <x v="37"/>
    <n v="295000"/>
    <x v="0"/>
    <x v="0"/>
    <x v="0"/>
  </r>
  <r>
    <s v="TXN-1114"/>
    <x v="113"/>
    <x v="3"/>
    <x v="5"/>
    <n v="5104"/>
    <x v="8"/>
    <s v="Video production charges"/>
    <x v="11"/>
    <x v="1"/>
    <x v="0"/>
    <n v="66950"/>
    <n v="0.18"/>
    <x v="100"/>
    <n v="79001"/>
    <x v="0"/>
    <x v="2"/>
    <x v="1"/>
  </r>
  <r>
    <s v="TXN-1115"/>
    <x v="114"/>
    <x v="3"/>
    <x v="4"/>
    <n v="5501"/>
    <x v="4"/>
    <s v="Cybersecurity license"/>
    <x v="12"/>
    <x v="1"/>
    <x v="1"/>
    <n v="76320"/>
    <n v="0.18"/>
    <x v="101"/>
    <n v="90058"/>
    <x v="0"/>
    <x v="3"/>
    <x v="0"/>
  </r>
  <r>
    <s v="TXN-1116"/>
    <x v="115"/>
    <x v="3"/>
    <x v="3"/>
    <n v="4101"/>
    <x v="18"/>
    <s v="Fixed deposit interest"/>
    <x v="24"/>
    <x v="0"/>
    <x v="0"/>
    <n v="19620"/>
    <n v="0"/>
    <x v="20"/>
    <n v="19620"/>
    <x v="1"/>
    <x v="1"/>
    <x v="2"/>
  </r>
  <r>
    <s v="TXN-1117"/>
    <x v="116"/>
    <x v="3"/>
    <x v="3"/>
    <n v="5403"/>
    <x v="16"/>
    <s v="Contract review charges"/>
    <x v="22"/>
    <x v="1"/>
    <x v="0"/>
    <n v="52640"/>
    <n v="0.18"/>
    <x v="102"/>
    <n v="62115"/>
    <x v="0"/>
    <x v="2"/>
    <x v="0"/>
  </r>
  <r>
    <s v="TXN-1118"/>
    <x v="117"/>
    <x v="3"/>
    <x v="1"/>
    <n v="5204"/>
    <x v="17"/>
    <s v="Office maintenance contract"/>
    <x v="23"/>
    <x v="1"/>
    <x v="2"/>
    <n v="22000"/>
    <n v="0.18"/>
    <x v="55"/>
    <n v="25960"/>
    <x v="0"/>
    <x v="3"/>
    <x v="2"/>
  </r>
  <r>
    <s v="TXN-1119"/>
    <x v="118"/>
    <x v="3"/>
    <x v="5"/>
    <n v="5105"/>
    <x v="10"/>
    <s v="Public relations retainer"/>
    <x v="15"/>
    <x v="1"/>
    <x v="0"/>
    <n v="45500"/>
    <n v="0.18"/>
    <x v="103"/>
    <n v="53690"/>
    <x v="0"/>
    <x v="1"/>
    <x v="1"/>
  </r>
  <r>
    <s v="TXN-1120"/>
    <x v="119"/>
    <x v="3"/>
    <x v="0"/>
    <n v="4003"/>
    <x v="0"/>
    <s v="Renewal subscription"/>
    <x v="7"/>
    <x v="0"/>
    <x v="0"/>
    <n v="164500"/>
    <n v="0.18"/>
    <x v="104"/>
    <n v="194110"/>
    <x v="1"/>
    <x v="0"/>
    <x v="0"/>
  </r>
  <r>
    <s v="TXN-1121"/>
    <x v="120"/>
    <x v="4"/>
    <x v="0"/>
    <n v="4001"/>
    <x v="0"/>
    <s v="Enterprise software license"/>
    <x v="0"/>
    <x v="0"/>
    <x v="0"/>
    <n v="242500"/>
    <n v="0.18"/>
    <x v="105"/>
    <n v="286150"/>
    <x v="0"/>
    <x v="0"/>
    <x v="0"/>
  </r>
  <r>
    <s v="TXN-1122"/>
    <x v="121"/>
    <x v="4"/>
    <x v="2"/>
    <n v="5301"/>
    <x v="2"/>
    <s v="Contract recruiter payout"/>
    <x v="2"/>
    <x v="1"/>
    <x v="0"/>
    <n v="30000"/>
    <n v="0.18"/>
    <x v="106"/>
    <n v="35400"/>
    <x v="0"/>
    <x v="0"/>
    <x v="1"/>
  </r>
  <r>
    <s v="TXN-1123"/>
    <x v="122"/>
    <x v="4"/>
    <x v="3"/>
    <n v="5401"/>
    <x v="3"/>
    <s v="Quarterly tax advisory"/>
    <x v="3"/>
    <x v="1"/>
    <x v="0"/>
    <n v="61800"/>
    <n v="0.18"/>
    <x v="107"/>
    <n v="72924"/>
    <x v="0"/>
    <x v="2"/>
    <x v="0"/>
  </r>
  <r>
    <s v="TXN-1124"/>
    <x v="123"/>
    <x v="4"/>
    <x v="4"/>
    <n v="5501"/>
    <x v="4"/>
    <s v="CRM annual subscription"/>
    <x v="4"/>
    <x v="1"/>
    <x v="1"/>
    <n v="76320"/>
    <n v="0.18"/>
    <x v="101"/>
    <n v="90058"/>
    <x v="1"/>
    <x v="1"/>
    <x v="0"/>
  </r>
  <r>
    <s v="TXN-1125"/>
    <x v="124"/>
    <x v="4"/>
    <x v="1"/>
    <n v="5202"/>
    <x v="13"/>
    <s v="Electricity bill"/>
    <x v="18"/>
    <x v="1"/>
    <x v="2"/>
    <n v="16350"/>
    <n v="0.18"/>
    <x v="108"/>
    <n v="19293"/>
    <x v="0"/>
    <x v="0"/>
    <x v="2"/>
  </r>
  <r>
    <s v="TXN-1126"/>
    <x v="125"/>
    <x v="4"/>
    <x v="0"/>
    <n v="4001"/>
    <x v="0"/>
    <s v="Annual platform subscription"/>
    <x v="5"/>
    <x v="0"/>
    <x v="0"/>
    <n v="336000"/>
    <n v="0.18"/>
    <x v="109"/>
    <n v="396480"/>
    <x v="0"/>
    <x v="0"/>
    <x v="0"/>
  </r>
  <r>
    <s v="TXN-1127"/>
    <x v="126"/>
    <x v="4"/>
    <x v="0"/>
    <n v="4002"/>
    <x v="0"/>
    <s v="Implementation milestone billing"/>
    <x v="14"/>
    <x v="0"/>
    <x v="0"/>
    <n v="184800"/>
    <n v="0.18"/>
    <x v="110"/>
    <n v="218064"/>
    <x v="0"/>
    <x v="1"/>
    <x v="0"/>
  </r>
  <r>
    <s v="TXN-1128"/>
    <x v="127"/>
    <x v="4"/>
    <x v="4"/>
    <n v="5502"/>
    <x v="6"/>
    <s v="Laptops for new hires"/>
    <x v="8"/>
    <x v="1"/>
    <x v="0"/>
    <n v="136500"/>
    <n v="0.18"/>
    <x v="111"/>
    <n v="161070"/>
    <x v="1"/>
    <x v="2"/>
    <x v="0"/>
  </r>
  <r>
    <s v="TXN-1129"/>
    <x v="128"/>
    <x v="4"/>
    <x v="3"/>
    <n v="5402"/>
    <x v="7"/>
    <s v="Internal audit review"/>
    <x v="9"/>
    <x v="1"/>
    <x v="0"/>
    <n v="51700"/>
    <n v="0.18"/>
    <x v="112"/>
    <n v="61006"/>
    <x v="0"/>
    <x v="1"/>
    <x v="0"/>
  </r>
  <r>
    <s v="TXN-1130"/>
    <x v="129"/>
    <x v="4"/>
    <x v="1"/>
    <n v="5203"/>
    <x v="15"/>
    <s v="Client site visit travel"/>
    <x v="21"/>
    <x v="1"/>
    <x v="1"/>
    <n v="26190"/>
    <n v="0.05"/>
    <x v="113"/>
    <n v="27500"/>
    <x v="0"/>
    <x v="2"/>
    <x v="1"/>
  </r>
  <r>
    <s v="TXN-1131"/>
    <x v="130"/>
    <x v="4"/>
    <x v="0"/>
    <n v="4003"/>
    <x v="0"/>
    <s v="Support retainer"/>
    <x v="10"/>
    <x v="0"/>
    <x v="0"/>
    <n v="95000"/>
    <n v="0.18"/>
    <x v="114"/>
    <n v="112100"/>
    <x v="0"/>
    <x v="3"/>
    <x v="1"/>
  </r>
  <r>
    <s v="TXN-1132"/>
    <x v="131"/>
    <x v="4"/>
    <x v="4"/>
    <n v="5501"/>
    <x v="4"/>
    <s v="Cybersecurity license"/>
    <x v="12"/>
    <x v="1"/>
    <x v="1"/>
    <n v="74160"/>
    <n v="0.18"/>
    <x v="115"/>
    <n v="87509"/>
    <x v="1"/>
    <x v="3"/>
    <x v="0"/>
  </r>
  <r>
    <s v="TXN-1133"/>
    <x v="132"/>
    <x v="4"/>
    <x v="2"/>
    <n v="5303"/>
    <x v="9"/>
    <s v="Job portal annual plan"/>
    <x v="13"/>
    <x v="1"/>
    <x v="1"/>
    <n v="42400"/>
    <n v="0.18"/>
    <x v="116"/>
    <n v="50032"/>
    <x v="0"/>
    <x v="1"/>
    <x v="1"/>
  </r>
  <r>
    <s v="TXN-1134"/>
    <x v="133"/>
    <x v="4"/>
    <x v="0"/>
    <n v="4001"/>
    <x v="0"/>
    <s v="Annual platform subscription"/>
    <x v="5"/>
    <x v="0"/>
    <x v="0"/>
    <n v="327000"/>
    <n v="0.18"/>
    <x v="117"/>
    <n v="385860"/>
    <x v="0"/>
    <x v="0"/>
    <x v="0"/>
  </r>
  <r>
    <s v="TXN-1135"/>
    <x v="134"/>
    <x v="4"/>
    <x v="1"/>
    <n v="5204"/>
    <x v="17"/>
    <s v="Office maintenance contract"/>
    <x v="23"/>
    <x v="1"/>
    <x v="2"/>
    <n v="28000"/>
    <n v="0.18"/>
    <x v="118"/>
    <n v="33040"/>
    <x v="0"/>
    <x v="3"/>
    <x v="2"/>
  </r>
  <r>
    <s v="TXN-1136"/>
    <x v="135"/>
    <x v="4"/>
    <x v="0"/>
    <n v="4003"/>
    <x v="0"/>
    <s v="Renewal subscription"/>
    <x v="7"/>
    <x v="0"/>
    <x v="0"/>
    <n v="154000"/>
    <n v="0.18"/>
    <x v="58"/>
    <n v="181720"/>
    <x v="1"/>
    <x v="0"/>
    <x v="0"/>
  </r>
  <r>
    <s v="TXN-1137"/>
    <x v="136"/>
    <x v="4"/>
    <x v="5"/>
    <n v="5102"/>
    <x v="11"/>
    <s v="Digital ad campaign"/>
    <x v="16"/>
    <x v="1"/>
    <x v="1"/>
    <n v="40950"/>
    <n v="0.18"/>
    <x v="119"/>
    <n v="48321"/>
    <x v="0"/>
    <x v="3"/>
    <x v="1"/>
  </r>
  <r>
    <s v="TXN-1138"/>
    <x v="137"/>
    <x v="4"/>
    <x v="1"/>
    <n v="5201"/>
    <x v="1"/>
    <s v="Monthly office rent"/>
    <x v="1"/>
    <x v="1"/>
    <x v="0"/>
    <n v="75200"/>
    <n v="0.18"/>
    <x v="120"/>
    <n v="88736"/>
    <x v="0"/>
    <x v="1"/>
    <x v="0"/>
  </r>
  <r>
    <s v="TXN-1139"/>
    <x v="138"/>
    <x v="4"/>
    <x v="2"/>
    <n v="5301"/>
    <x v="2"/>
    <s v="Contract recruiter payout"/>
    <x v="2"/>
    <x v="1"/>
    <x v="0"/>
    <n v="29100"/>
    <n v="0.18"/>
    <x v="121"/>
    <n v="34338"/>
    <x v="0"/>
    <x v="0"/>
    <x v="1"/>
  </r>
  <r>
    <s v="TXN-1140"/>
    <x v="139"/>
    <x v="4"/>
    <x v="3"/>
    <n v="5401"/>
    <x v="3"/>
    <s v="Quarterly tax advisory"/>
    <x v="3"/>
    <x v="1"/>
    <x v="0"/>
    <n v="60000"/>
    <n v="0.18"/>
    <x v="122"/>
    <n v="70800"/>
    <x v="1"/>
    <x v="2"/>
    <x v="0"/>
  </r>
  <r>
    <s v="TXN-1141"/>
    <x v="140"/>
    <x v="4"/>
    <x v="3"/>
    <n v="4102"/>
    <x v="12"/>
    <s v="Foreign exchange gain"/>
    <x v="17"/>
    <x v="0"/>
    <x v="0"/>
    <n v="12360"/>
    <n v="0"/>
    <x v="20"/>
    <n v="12360"/>
    <x v="0"/>
    <x v="2"/>
    <x v="2"/>
  </r>
  <r>
    <s v="TXN-1142"/>
    <x v="141"/>
    <x v="4"/>
    <x v="1"/>
    <n v="5202"/>
    <x v="13"/>
    <s v="Electricity bill"/>
    <x v="18"/>
    <x v="1"/>
    <x v="2"/>
    <n v="15900"/>
    <n v="0.18"/>
    <x v="123"/>
    <n v="18762"/>
    <x v="0"/>
    <x v="0"/>
    <x v="2"/>
  </r>
  <r>
    <s v="TXN-1143"/>
    <x v="142"/>
    <x v="4"/>
    <x v="5"/>
    <n v="5103"/>
    <x v="5"/>
    <s v="Trade expo booth booking"/>
    <x v="6"/>
    <x v="1"/>
    <x v="0"/>
    <n v="98100"/>
    <n v="0.18"/>
    <x v="124"/>
    <n v="115758"/>
    <x v="0"/>
    <x v="2"/>
    <x v="0"/>
  </r>
  <r>
    <s v="TXN-1144"/>
    <x v="143"/>
    <x v="4"/>
    <x v="2"/>
    <n v="5302"/>
    <x v="14"/>
    <s v="Leadership workshop"/>
    <x v="19"/>
    <x v="1"/>
    <x v="1"/>
    <n v="24640"/>
    <n v="0.18"/>
    <x v="125"/>
    <n v="29075"/>
    <x v="1"/>
    <x v="3"/>
    <x v="1"/>
  </r>
  <r>
    <s v="TXN-1145"/>
    <x v="144"/>
    <x v="4"/>
    <x v="4"/>
    <n v="5502"/>
    <x v="6"/>
    <s v="Laptops for new hires"/>
    <x v="8"/>
    <x v="1"/>
    <x v="0"/>
    <n v="132000"/>
    <n v="0.18"/>
    <x v="126"/>
    <n v="155760"/>
    <x v="0"/>
    <x v="2"/>
    <x v="0"/>
  </r>
  <r>
    <s v="TXN-1146"/>
    <x v="145"/>
    <x v="4"/>
    <x v="0"/>
    <n v="4002"/>
    <x v="0"/>
    <s v="Implementation services"/>
    <x v="20"/>
    <x v="0"/>
    <x v="2"/>
    <n v="109200"/>
    <n v="0.18"/>
    <x v="127"/>
    <n v="128856"/>
    <x v="0"/>
    <x v="3"/>
    <x v="0"/>
  </r>
  <r>
    <s v="TXN-1147"/>
    <x v="146"/>
    <x v="4"/>
    <x v="1"/>
    <n v="5203"/>
    <x v="15"/>
    <s v="Client site visit travel"/>
    <x v="21"/>
    <x v="1"/>
    <x v="1"/>
    <n v="25380"/>
    <n v="0.05"/>
    <x v="128"/>
    <n v="26649"/>
    <x v="0"/>
    <x v="2"/>
    <x v="1"/>
  </r>
  <r>
    <s v="TXN-1148"/>
    <x v="147"/>
    <x v="4"/>
    <x v="3"/>
    <n v="4101"/>
    <x v="18"/>
    <s v="Fixed deposit interest"/>
    <x v="24"/>
    <x v="0"/>
    <x v="0"/>
    <n v="17460"/>
    <n v="0"/>
    <x v="20"/>
    <n v="17460"/>
    <x v="1"/>
    <x v="1"/>
    <x v="2"/>
  </r>
  <r>
    <s v="TXN-1149"/>
    <x v="148"/>
    <x v="4"/>
    <x v="4"/>
    <n v="5501"/>
    <x v="4"/>
    <s v="Cybersecurity license"/>
    <x v="12"/>
    <x v="1"/>
    <x v="1"/>
    <n v="72000"/>
    <n v="0.18"/>
    <x v="4"/>
    <n v="84960"/>
    <x v="0"/>
    <x v="3"/>
    <x v="0"/>
  </r>
  <r>
    <s v="TXN-1150"/>
    <x v="149"/>
    <x v="4"/>
    <x v="2"/>
    <n v="5303"/>
    <x v="9"/>
    <s v="Job portal annual plan"/>
    <x v="13"/>
    <x v="1"/>
    <x v="1"/>
    <n v="41200"/>
    <n v="0.18"/>
    <x v="129"/>
    <n v="48616"/>
    <x v="0"/>
    <x v="1"/>
    <x v="1"/>
  </r>
  <r>
    <s v="TXN-1151"/>
    <x v="150"/>
    <x v="4"/>
    <x v="0"/>
    <n v="4002"/>
    <x v="0"/>
    <s v="Implementation milestone billing"/>
    <x v="14"/>
    <x v="0"/>
    <x v="0"/>
    <n v="222600"/>
    <n v="0.18"/>
    <x v="130"/>
    <n v="262668"/>
    <x v="0"/>
    <x v="1"/>
    <x v="0"/>
  </r>
  <r>
    <s v="TXN-1152"/>
    <x v="151"/>
    <x v="5"/>
    <x v="1"/>
    <n v="5204"/>
    <x v="17"/>
    <s v="Office maintenance contract"/>
    <x v="23"/>
    <x v="1"/>
    <x v="2"/>
    <n v="27250"/>
    <n v="0.18"/>
    <x v="131"/>
    <n v="32155"/>
    <x v="1"/>
    <x v="3"/>
    <x v="2"/>
  </r>
  <r>
    <s v="TXN-1153"/>
    <x v="152"/>
    <x v="5"/>
    <x v="5"/>
    <n v="5105"/>
    <x v="10"/>
    <s v="Public relations retainer"/>
    <x v="15"/>
    <x v="1"/>
    <x v="0"/>
    <n v="56000"/>
    <n v="0.18"/>
    <x v="132"/>
    <n v="66080"/>
    <x v="0"/>
    <x v="1"/>
    <x v="1"/>
  </r>
  <r>
    <s v="TXN-1154"/>
    <x v="153"/>
    <x v="5"/>
    <x v="5"/>
    <n v="5102"/>
    <x v="11"/>
    <s v="Digital ad campaign"/>
    <x v="16"/>
    <x v="1"/>
    <x v="1"/>
    <n v="39600"/>
    <n v="0.18"/>
    <x v="133"/>
    <n v="46728"/>
    <x v="0"/>
    <x v="3"/>
    <x v="1"/>
  </r>
  <r>
    <s v="TXN-1155"/>
    <x v="154"/>
    <x v="5"/>
    <x v="0"/>
    <n v="4003"/>
    <x v="0"/>
    <s v="Support retainer"/>
    <x v="10"/>
    <x v="0"/>
    <x v="0"/>
    <n v="86450"/>
    <n v="0.18"/>
    <x v="10"/>
    <n v="102011"/>
    <x v="0"/>
    <x v="3"/>
    <x v="1"/>
  </r>
  <r>
    <s v="TXN-1156"/>
    <x v="155"/>
    <x v="5"/>
    <x v="3"/>
    <n v="4101"/>
    <x v="18"/>
    <s v="Fixed deposit interest"/>
    <x v="24"/>
    <x v="0"/>
    <x v="0"/>
    <n v="16920"/>
    <n v="0"/>
    <x v="20"/>
    <n v="16920"/>
    <x v="1"/>
    <x v="1"/>
    <x v="2"/>
  </r>
  <r>
    <s v="TXN-1157"/>
    <x v="156"/>
    <x v="5"/>
    <x v="3"/>
    <n v="5401"/>
    <x v="3"/>
    <s v="Quarterly tax advisory"/>
    <x v="3"/>
    <x v="1"/>
    <x v="0"/>
    <n v="58200"/>
    <n v="0.18"/>
    <x v="3"/>
    <n v="68676"/>
    <x v="0"/>
    <x v="2"/>
    <x v="0"/>
  </r>
  <r>
    <s v="TXN-1158"/>
    <x v="157"/>
    <x v="5"/>
    <x v="4"/>
    <n v="5501"/>
    <x v="4"/>
    <s v="CRM annual subscription"/>
    <x v="4"/>
    <x v="1"/>
    <x v="1"/>
    <n v="72000"/>
    <n v="0.18"/>
    <x v="4"/>
    <n v="84960"/>
    <x v="0"/>
    <x v="1"/>
    <x v="0"/>
  </r>
  <r>
    <s v="TXN-1159"/>
    <x v="158"/>
    <x v="5"/>
    <x v="1"/>
    <n v="5202"/>
    <x v="13"/>
    <s v="Electricity bill"/>
    <x v="18"/>
    <x v="1"/>
    <x v="2"/>
    <n v="15450"/>
    <n v="0.18"/>
    <x v="134"/>
    <n v="18231"/>
    <x v="0"/>
    <x v="0"/>
    <x v="2"/>
  </r>
  <r>
    <s v="TXN-1160"/>
    <x v="159"/>
    <x v="5"/>
    <x v="5"/>
    <n v="5103"/>
    <x v="5"/>
    <s v="Trade expo booth booking"/>
    <x v="6"/>
    <x v="1"/>
    <x v="0"/>
    <n v="95400"/>
    <n v="0.18"/>
    <x v="6"/>
    <n v="112572"/>
    <x v="1"/>
    <x v="2"/>
    <x v="0"/>
  </r>
  <r>
    <s v="TXN-1161"/>
    <x v="160"/>
    <x v="5"/>
    <x v="0"/>
    <n v="4001"/>
    <x v="0"/>
    <s v="Enterprise software license"/>
    <x v="0"/>
    <x v="0"/>
    <x v="0"/>
    <n v="272500"/>
    <n v="0.18"/>
    <x v="135"/>
    <n v="321550"/>
    <x v="0"/>
    <x v="0"/>
    <x v="0"/>
  </r>
  <r>
    <s v="TXN-1162"/>
    <x v="161"/>
    <x v="5"/>
    <x v="0"/>
    <n v="4002"/>
    <x v="0"/>
    <s v="Implementation services"/>
    <x v="20"/>
    <x v="0"/>
    <x v="2"/>
    <n v="134400"/>
    <n v="0.18"/>
    <x v="136"/>
    <n v="158592"/>
    <x v="0"/>
    <x v="3"/>
    <x v="0"/>
  </r>
  <r>
    <s v="TXN-1163"/>
    <x v="162"/>
    <x v="5"/>
    <x v="3"/>
    <n v="5402"/>
    <x v="7"/>
    <s v="Internal audit review"/>
    <x v="9"/>
    <x v="1"/>
    <x v="0"/>
    <n v="48400"/>
    <n v="0.18"/>
    <x v="9"/>
    <n v="57112"/>
    <x v="0"/>
    <x v="1"/>
    <x v="0"/>
  </r>
  <r>
    <s v="TXN-1164"/>
    <x v="163"/>
    <x v="5"/>
    <x v="1"/>
    <n v="5203"/>
    <x v="15"/>
    <s v="Client site visit travel"/>
    <x v="21"/>
    <x v="1"/>
    <x v="1"/>
    <n v="24570"/>
    <n v="0.05"/>
    <x v="137"/>
    <n v="25799"/>
    <x v="1"/>
    <x v="2"/>
    <x v="1"/>
  </r>
  <r>
    <s v="TXN-1165"/>
    <x v="164"/>
    <x v="5"/>
    <x v="5"/>
    <n v="5104"/>
    <x v="8"/>
    <s v="Video production charges"/>
    <x v="11"/>
    <x v="1"/>
    <x v="0"/>
    <n v="61100"/>
    <n v="0.18"/>
    <x v="11"/>
    <n v="72098"/>
    <x v="0"/>
    <x v="2"/>
    <x v="1"/>
  </r>
  <r>
    <s v="TXN-1166"/>
    <x v="165"/>
    <x v="5"/>
    <x v="0"/>
    <n v="4001"/>
    <x v="0"/>
    <s v="Annual platform subscription"/>
    <x v="5"/>
    <x v="0"/>
    <x v="0"/>
    <n v="291000"/>
    <n v="0.18"/>
    <x v="21"/>
    <n v="343380"/>
    <x v="0"/>
    <x v="0"/>
    <x v="0"/>
  </r>
  <r>
    <s v="TXN-1167"/>
    <x v="166"/>
    <x v="5"/>
    <x v="2"/>
    <n v="5303"/>
    <x v="9"/>
    <s v="Job portal annual plan"/>
    <x v="13"/>
    <x v="1"/>
    <x v="1"/>
    <n v="40000"/>
    <n v="0.18"/>
    <x v="13"/>
    <n v="47200"/>
    <x v="0"/>
    <x v="1"/>
    <x v="1"/>
  </r>
  <r>
    <s v="TXN-1168"/>
    <x v="167"/>
    <x v="5"/>
    <x v="3"/>
    <n v="5403"/>
    <x v="16"/>
    <s v="Contract review charges"/>
    <x v="22"/>
    <x v="1"/>
    <x v="0"/>
    <n v="48410"/>
    <n v="0.18"/>
    <x v="138"/>
    <n v="57124"/>
    <x v="1"/>
    <x v="2"/>
    <x v="0"/>
  </r>
  <r>
    <s v="TXN-1169"/>
    <x v="168"/>
    <x v="5"/>
    <x v="0"/>
    <n v="4001"/>
    <x v="0"/>
    <s v="Enterprise software license"/>
    <x v="0"/>
    <x v="0"/>
    <x v="0"/>
    <n v="265000"/>
    <n v="0.18"/>
    <x v="139"/>
    <n v="312700"/>
    <x v="0"/>
    <x v="0"/>
    <x v="0"/>
  </r>
  <r>
    <s v="TXN-1170"/>
    <x v="169"/>
    <x v="5"/>
    <x v="5"/>
    <n v="5105"/>
    <x v="10"/>
    <s v="Public relations retainer"/>
    <x v="15"/>
    <x v="1"/>
    <x v="0"/>
    <n v="54500"/>
    <n v="0.18"/>
    <x v="16"/>
    <n v="64310"/>
    <x v="0"/>
    <x v="1"/>
    <x v="1"/>
  </r>
  <r>
    <s v="TXN-1171"/>
    <x v="170"/>
    <x v="5"/>
    <x v="0"/>
    <n v="4003"/>
    <x v="0"/>
    <s v="Support retainer"/>
    <x v="10"/>
    <x v="0"/>
    <x v="0"/>
    <n v="106400"/>
    <n v="0.18"/>
    <x v="89"/>
    <n v="125552"/>
    <x v="0"/>
    <x v="3"/>
    <x v="1"/>
  </r>
  <r>
    <s v="TXN-1172"/>
    <x v="171"/>
    <x v="5"/>
    <x v="1"/>
    <n v="5201"/>
    <x v="1"/>
    <s v="Monthly office rent"/>
    <x v="1"/>
    <x v="1"/>
    <x v="0"/>
    <n v="70400"/>
    <n v="0.18"/>
    <x v="18"/>
    <n v="83072"/>
    <x v="1"/>
    <x v="1"/>
    <x v="0"/>
  </r>
  <r>
    <s v="TXN-1173"/>
    <x v="172"/>
    <x v="5"/>
    <x v="2"/>
    <n v="5301"/>
    <x v="2"/>
    <s v="Contract recruiter payout"/>
    <x v="2"/>
    <x v="1"/>
    <x v="0"/>
    <n v="27300"/>
    <n v="0.18"/>
    <x v="19"/>
    <n v="32214"/>
    <x v="0"/>
    <x v="0"/>
    <x v="1"/>
  </r>
  <r>
    <s v="TXN-1174"/>
    <x v="173"/>
    <x v="5"/>
    <x v="3"/>
    <n v="5401"/>
    <x v="3"/>
    <s v="Quarterly tax advisory"/>
    <x v="3"/>
    <x v="1"/>
    <x v="0"/>
    <n v="56400"/>
    <n v="0.18"/>
    <x v="140"/>
    <n v="66552"/>
    <x v="0"/>
    <x v="2"/>
    <x v="0"/>
  </r>
  <r>
    <s v="TXN-1175"/>
    <x v="174"/>
    <x v="5"/>
    <x v="4"/>
    <n v="5501"/>
    <x v="4"/>
    <s v="CRM annual subscription"/>
    <x v="4"/>
    <x v="1"/>
    <x v="1"/>
    <n v="69840"/>
    <n v="0.18"/>
    <x v="12"/>
    <n v="82411"/>
    <x v="0"/>
    <x v="1"/>
    <x v="0"/>
  </r>
  <r>
    <s v="TXN-1176"/>
    <x v="175"/>
    <x v="5"/>
    <x v="0"/>
    <n v="4003"/>
    <x v="0"/>
    <s v="Renewal subscription"/>
    <x v="7"/>
    <x v="0"/>
    <x v="0"/>
    <n v="175000"/>
    <n v="0.18"/>
    <x v="141"/>
    <n v="206500"/>
    <x v="1"/>
    <x v="0"/>
    <x v="0"/>
  </r>
  <r>
    <s v="TXN-1177"/>
    <x v="176"/>
    <x v="5"/>
    <x v="5"/>
    <n v="5103"/>
    <x v="5"/>
    <s v="Trade expo booth booking"/>
    <x v="6"/>
    <x v="1"/>
    <x v="0"/>
    <n v="92700"/>
    <n v="0.18"/>
    <x v="23"/>
    <n v="109386"/>
    <x v="0"/>
    <x v="2"/>
    <x v="0"/>
  </r>
  <r>
    <s v="TXN-1178"/>
    <x v="177"/>
    <x v="5"/>
    <x v="2"/>
    <n v="5302"/>
    <x v="14"/>
    <s v="Leadership workshop"/>
    <x v="19"/>
    <x v="1"/>
    <x v="1"/>
    <n v="23320"/>
    <n v="0.18"/>
    <x v="24"/>
    <n v="27518"/>
    <x v="0"/>
    <x v="3"/>
    <x v="1"/>
  </r>
  <r>
    <s v="TXN-1179"/>
    <x v="178"/>
    <x v="5"/>
    <x v="4"/>
    <n v="5502"/>
    <x v="6"/>
    <s v="Laptops for new hires"/>
    <x v="8"/>
    <x v="1"/>
    <x v="0"/>
    <n v="163500"/>
    <n v="0.18"/>
    <x v="142"/>
    <n v="192930"/>
    <x v="0"/>
    <x v="2"/>
    <x v="0"/>
  </r>
  <r>
    <s v="TXN-1180"/>
    <x v="179"/>
    <x v="5"/>
    <x v="3"/>
    <n v="5402"/>
    <x v="7"/>
    <s v="Internal audit review"/>
    <x v="9"/>
    <x v="1"/>
    <x v="0"/>
    <n v="61600"/>
    <n v="0.18"/>
    <x v="26"/>
    <n v="72688"/>
    <x v="1"/>
    <x v="1"/>
    <x v="0"/>
  </r>
  <r>
    <s v="TXN-1181"/>
    <x v="180"/>
    <x v="5"/>
    <x v="3"/>
    <n v="4102"/>
    <x v="12"/>
    <s v="Foreign exchange gain"/>
    <x v="17"/>
    <x v="0"/>
    <x v="0"/>
    <n v="10560"/>
    <n v="0"/>
    <x v="20"/>
    <n v="10560"/>
    <x v="0"/>
    <x v="2"/>
    <x v="2"/>
  </r>
  <r>
    <s v="TXN-1182"/>
    <x v="181"/>
    <x v="6"/>
    <x v="5"/>
    <n v="5104"/>
    <x v="8"/>
    <s v="Video production charges"/>
    <x v="11"/>
    <x v="1"/>
    <x v="0"/>
    <n v="59150"/>
    <n v="0.18"/>
    <x v="143"/>
    <n v="69797"/>
    <x v="0"/>
    <x v="2"/>
    <x v="1"/>
  </r>
  <r>
    <s v="TXN-1183"/>
    <x v="182"/>
    <x v="6"/>
    <x v="0"/>
    <n v="4002"/>
    <x v="0"/>
    <s v="Implementation milestone billing"/>
    <x v="14"/>
    <x v="0"/>
    <x v="0"/>
    <n v="197400"/>
    <n v="0.18"/>
    <x v="98"/>
    <n v="232932"/>
    <x v="0"/>
    <x v="1"/>
    <x v="0"/>
  </r>
  <r>
    <s v="TXN-1184"/>
    <x v="183"/>
    <x v="6"/>
    <x v="2"/>
    <n v="5303"/>
    <x v="9"/>
    <s v="Job portal annual plan"/>
    <x v="13"/>
    <x v="1"/>
    <x v="1"/>
    <n v="38800"/>
    <n v="0.18"/>
    <x v="144"/>
    <n v="45784"/>
    <x v="1"/>
    <x v="1"/>
    <x v="1"/>
  </r>
  <r>
    <s v="TXN-1185"/>
    <x v="184"/>
    <x v="6"/>
    <x v="3"/>
    <n v="5403"/>
    <x v="16"/>
    <s v="Contract review charges"/>
    <x v="22"/>
    <x v="1"/>
    <x v="0"/>
    <n v="47000"/>
    <n v="0.18"/>
    <x v="30"/>
    <n v="55460"/>
    <x v="0"/>
    <x v="2"/>
    <x v="0"/>
  </r>
  <r>
    <s v="TXN-1186"/>
    <x v="185"/>
    <x v="6"/>
    <x v="0"/>
    <n v="4002"/>
    <x v="0"/>
    <s v="Implementation services"/>
    <x v="20"/>
    <x v="0"/>
    <x v="2"/>
    <n v="123600"/>
    <n v="0.18"/>
    <x v="145"/>
    <n v="145848"/>
    <x v="0"/>
    <x v="3"/>
    <x v="0"/>
  </r>
  <r>
    <s v="TXN-1187"/>
    <x v="186"/>
    <x v="6"/>
    <x v="5"/>
    <n v="5105"/>
    <x v="10"/>
    <s v="Public relations retainer"/>
    <x v="15"/>
    <x v="1"/>
    <x v="0"/>
    <n v="53000"/>
    <n v="0.18"/>
    <x v="32"/>
    <n v="62540"/>
    <x v="0"/>
    <x v="1"/>
    <x v="1"/>
  </r>
  <r>
    <s v="TXN-1188"/>
    <x v="187"/>
    <x v="6"/>
    <x v="5"/>
    <n v="5102"/>
    <x v="11"/>
    <s v="Digital ad campaign"/>
    <x v="16"/>
    <x v="1"/>
    <x v="1"/>
    <n v="49050"/>
    <n v="0.18"/>
    <x v="33"/>
    <n v="57879"/>
    <x v="1"/>
    <x v="3"/>
    <x v="1"/>
  </r>
  <r>
    <s v="TXN-1189"/>
    <x v="188"/>
    <x v="6"/>
    <x v="1"/>
    <n v="5201"/>
    <x v="1"/>
    <s v="Monthly office rent"/>
    <x v="1"/>
    <x v="1"/>
    <x v="0"/>
    <n v="89600"/>
    <n v="0.18"/>
    <x v="146"/>
    <n v="105728"/>
    <x v="0"/>
    <x v="1"/>
    <x v="0"/>
  </r>
  <r>
    <s v="TXN-1190"/>
    <x v="189"/>
    <x v="6"/>
    <x v="0"/>
    <n v="4001"/>
    <x v="0"/>
    <s v="Annual platform subscription"/>
    <x v="5"/>
    <x v="0"/>
    <x v="0"/>
    <n v="264000"/>
    <n v="0.18"/>
    <x v="42"/>
    <n v="311520"/>
    <x v="0"/>
    <x v="0"/>
    <x v="0"/>
  </r>
  <r>
    <s v="TXN-1191"/>
    <x v="190"/>
    <x v="6"/>
    <x v="0"/>
    <n v="4002"/>
    <x v="0"/>
    <s v="Implementation milestone billing"/>
    <x v="14"/>
    <x v="0"/>
    <x v="0"/>
    <n v="191100"/>
    <n v="0.18"/>
    <x v="147"/>
    <n v="225498"/>
    <x v="0"/>
    <x v="1"/>
    <x v="0"/>
  </r>
  <r>
    <s v="TXN-1192"/>
    <x v="191"/>
    <x v="6"/>
    <x v="4"/>
    <n v="5501"/>
    <x v="4"/>
    <s v="CRM annual subscription"/>
    <x v="4"/>
    <x v="1"/>
    <x v="1"/>
    <n v="67680"/>
    <n v="0.18"/>
    <x v="28"/>
    <n v="79862"/>
    <x v="1"/>
    <x v="1"/>
    <x v="0"/>
  </r>
  <r>
    <s v="TXN-1193"/>
    <x v="192"/>
    <x v="6"/>
    <x v="1"/>
    <n v="5202"/>
    <x v="13"/>
    <s v="Electricity bill"/>
    <x v="18"/>
    <x v="1"/>
    <x v="2"/>
    <n v="14550"/>
    <n v="0.18"/>
    <x v="36"/>
    <n v="17169"/>
    <x v="0"/>
    <x v="0"/>
    <x v="2"/>
  </r>
  <r>
    <s v="TXN-1194"/>
    <x v="193"/>
    <x v="6"/>
    <x v="5"/>
    <n v="5103"/>
    <x v="5"/>
    <s v="Trade expo booth booking"/>
    <x v="6"/>
    <x v="1"/>
    <x v="0"/>
    <n v="90000"/>
    <n v="0.18"/>
    <x v="148"/>
    <n v="106200"/>
    <x v="0"/>
    <x v="2"/>
    <x v="0"/>
  </r>
  <r>
    <s v="TXN-1195"/>
    <x v="194"/>
    <x v="6"/>
    <x v="2"/>
    <n v="5302"/>
    <x v="14"/>
    <s v="Leadership workshop"/>
    <x v="19"/>
    <x v="1"/>
    <x v="1"/>
    <n v="22660"/>
    <n v="0.18"/>
    <x v="38"/>
    <n v="26739"/>
    <x v="0"/>
    <x v="3"/>
    <x v="1"/>
  </r>
  <r>
    <s v="TXN-1196"/>
    <x v="195"/>
    <x v="6"/>
    <x v="3"/>
    <n v="4101"/>
    <x v="18"/>
    <s v="Fixed deposit interest"/>
    <x v="24"/>
    <x v="0"/>
    <x v="0"/>
    <n v="19080"/>
    <n v="0"/>
    <x v="20"/>
    <n v="19080"/>
    <x v="1"/>
    <x v="1"/>
    <x v="2"/>
  </r>
  <r>
    <s v="TXN-1197"/>
    <x v="196"/>
    <x v="6"/>
    <x v="3"/>
    <n v="4102"/>
    <x v="12"/>
    <s v="Foreign exchange gain"/>
    <x v="17"/>
    <x v="0"/>
    <x v="0"/>
    <n v="13080"/>
    <n v="0"/>
    <x v="20"/>
    <n v="13080"/>
    <x v="0"/>
    <x v="2"/>
    <x v="2"/>
  </r>
  <r>
    <s v="TXN-1198"/>
    <x v="197"/>
    <x v="6"/>
    <x v="1"/>
    <n v="5203"/>
    <x v="15"/>
    <s v="Client site visit travel"/>
    <x v="21"/>
    <x v="1"/>
    <x v="1"/>
    <n v="30240"/>
    <n v="0.05"/>
    <x v="41"/>
    <n v="31752"/>
    <x v="0"/>
    <x v="2"/>
    <x v="1"/>
  </r>
  <r>
    <s v="TXN-1199"/>
    <x v="198"/>
    <x v="6"/>
    <x v="5"/>
    <n v="5104"/>
    <x v="8"/>
    <s v="Video production charges"/>
    <x v="11"/>
    <x v="1"/>
    <x v="0"/>
    <n v="57200"/>
    <n v="0.18"/>
    <x v="149"/>
    <n v="67496"/>
    <x v="0"/>
    <x v="2"/>
    <x v="1"/>
  </r>
  <r>
    <s v="TXN-1200"/>
    <x v="199"/>
    <x v="6"/>
    <x v="4"/>
    <n v="5501"/>
    <x v="4"/>
    <s v="Cybersecurity license"/>
    <x v="12"/>
    <x v="1"/>
    <x v="1"/>
    <n v="65520"/>
    <n v="0.18"/>
    <x v="43"/>
    <n v="77314"/>
    <x v="1"/>
    <x v="3"/>
    <x v="0"/>
  </r>
  <r>
    <s v="TXN-1201"/>
    <x v="200"/>
    <x v="6"/>
    <x v="0"/>
    <n v="4001"/>
    <x v="0"/>
    <s v="Enterprise software license"/>
    <x v="0"/>
    <x v="0"/>
    <x v="0"/>
    <n v="235000"/>
    <n v="0.18"/>
    <x v="53"/>
    <n v="277300"/>
    <x v="0"/>
    <x v="0"/>
    <x v="0"/>
  </r>
  <r>
    <s v="TXN-1202"/>
    <x v="201"/>
    <x v="6"/>
    <x v="3"/>
    <n v="5403"/>
    <x v="16"/>
    <s v="Contract review charges"/>
    <x v="22"/>
    <x v="1"/>
    <x v="0"/>
    <n v="45590"/>
    <n v="0.18"/>
    <x v="45"/>
    <n v="53796"/>
    <x v="0"/>
    <x v="2"/>
    <x v="0"/>
  </r>
  <r>
    <s v="TXN-1203"/>
    <x v="202"/>
    <x v="6"/>
    <x v="1"/>
    <n v="5204"/>
    <x v="17"/>
    <s v="Office maintenance contract"/>
    <x v="23"/>
    <x v="1"/>
    <x v="2"/>
    <n v="25000"/>
    <n v="0.18"/>
    <x v="150"/>
    <n v="29500"/>
    <x v="0"/>
    <x v="3"/>
    <x v="2"/>
  </r>
  <r>
    <s v="TXN-1204"/>
    <x v="203"/>
    <x v="6"/>
    <x v="3"/>
    <n v="4101"/>
    <x v="18"/>
    <s v="Fixed deposit interest"/>
    <x v="24"/>
    <x v="0"/>
    <x v="0"/>
    <n v="18540"/>
    <n v="0"/>
    <x v="20"/>
    <n v="18540"/>
    <x v="1"/>
    <x v="1"/>
    <x v="2"/>
  </r>
  <r>
    <s v="TXN-1205"/>
    <x v="204"/>
    <x v="6"/>
    <x v="5"/>
    <n v="5102"/>
    <x v="11"/>
    <s v="Digital ad campaign"/>
    <x v="16"/>
    <x v="1"/>
    <x v="1"/>
    <n v="47700"/>
    <n v="0.18"/>
    <x v="48"/>
    <n v="56286"/>
    <x v="0"/>
    <x v="3"/>
    <x v="1"/>
  </r>
  <r>
    <s v="TXN-1206"/>
    <x v="205"/>
    <x v="6"/>
    <x v="0"/>
    <n v="4001"/>
    <x v="0"/>
    <s v="Annual platform subscription"/>
    <x v="5"/>
    <x v="0"/>
    <x v="0"/>
    <n v="327000"/>
    <n v="0.18"/>
    <x v="117"/>
    <n v="385860"/>
    <x v="0"/>
    <x v="0"/>
    <x v="0"/>
  </r>
  <r>
    <s v="TXN-1207"/>
    <x v="206"/>
    <x v="6"/>
    <x v="2"/>
    <n v="5301"/>
    <x v="2"/>
    <s v="Contract recruiter payout"/>
    <x v="2"/>
    <x v="1"/>
    <x v="0"/>
    <n v="33600"/>
    <n v="0.18"/>
    <x v="50"/>
    <n v="39648"/>
    <x v="0"/>
    <x v="0"/>
    <x v="1"/>
  </r>
  <r>
    <s v="TXN-1208"/>
    <x v="207"/>
    <x v="6"/>
    <x v="3"/>
    <n v="5401"/>
    <x v="3"/>
    <s v="Quarterly tax advisory"/>
    <x v="3"/>
    <x v="1"/>
    <x v="0"/>
    <n v="52800"/>
    <n v="0.18"/>
    <x v="51"/>
    <n v="62304"/>
    <x v="1"/>
    <x v="2"/>
    <x v="0"/>
  </r>
  <r>
    <s v="TXN-1209"/>
    <x v="208"/>
    <x v="6"/>
    <x v="4"/>
    <n v="5501"/>
    <x v="4"/>
    <s v="CRM annual subscription"/>
    <x v="4"/>
    <x v="1"/>
    <x v="1"/>
    <n v="65520"/>
    <n v="0.18"/>
    <x v="43"/>
    <n v="77314"/>
    <x v="0"/>
    <x v="1"/>
    <x v="0"/>
  </r>
  <r>
    <s v="TXN-1210"/>
    <x v="209"/>
    <x v="6"/>
    <x v="1"/>
    <n v="5202"/>
    <x v="13"/>
    <s v="Electricity bill"/>
    <x v="18"/>
    <x v="1"/>
    <x v="2"/>
    <n v="14100"/>
    <n v="0.18"/>
    <x v="151"/>
    <n v="16638"/>
    <x v="0"/>
    <x v="0"/>
    <x v="2"/>
  </r>
  <r>
    <s v="TXN-1211"/>
    <x v="210"/>
    <x v="6"/>
    <x v="0"/>
    <n v="4003"/>
    <x v="0"/>
    <s v="Support retainer"/>
    <x v="10"/>
    <x v="0"/>
    <x v="0"/>
    <n v="92150"/>
    <n v="0.18"/>
    <x v="152"/>
    <n v="108737"/>
    <x v="0"/>
    <x v="3"/>
    <x v="1"/>
  </r>
  <r>
    <s v="TXN-1212"/>
    <x v="211"/>
    <x v="6"/>
    <x v="2"/>
    <n v="5302"/>
    <x v="14"/>
    <s v="Leadership workshop"/>
    <x v="19"/>
    <x v="1"/>
    <x v="1"/>
    <n v="22000"/>
    <n v="0.18"/>
    <x v="55"/>
    <n v="25960"/>
    <x v="1"/>
    <x v="3"/>
    <x v="1"/>
  </r>
  <r>
    <s v="TXN-1213"/>
    <x v="212"/>
    <x v="7"/>
    <x v="4"/>
    <n v="5502"/>
    <x v="6"/>
    <s v="Laptops for new hires"/>
    <x v="8"/>
    <x v="1"/>
    <x v="0"/>
    <n v="154500"/>
    <n v="0.18"/>
    <x v="56"/>
    <n v="182310"/>
    <x v="0"/>
    <x v="2"/>
    <x v="0"/>
  </r>
  <r>
    <s v="TXN-1214"/>
    <x v="213"/>
    <x v="7"/>
    <x v="3"/>
    <n v="5402"/>
    <x v="7"/>
    <s v="Internal audit review"/>
    <x v="9"/>
    <x v="1"/>
    <x v="0"/>
    <n v="58300"/>
    <n v="0.18"/>
    <x v="153"/>
    <n v="68794"/>
    <x v="0"/>
    <x v="1"/>
    <x v="0"/>
  </r>
  <r>
    <s v="TXN-1215"/>
    <x v="214"/>
    <x v="7"/>
    <x v="1"/>
    <n v="5203"/>
    <x v="15"/>
    <s v="Client site visit travel"/>
    <x v="21"/>
    <x v="1"/>
    <x v="1"/>
    <n v="29430"/>
    <n v="0.05"/>
    <x v="57"/>
    <n v="30902"/>
    <x v="0"/>
    <x v="2"/>
    <x v="1"/>
  </r>
  <r>
    <s v="TXN-1216"/>
    <x v="215"/>
    <x v="7"/>
    <x v="0"/>
    <n v="4003"/>
    <x v="0"/>
    <s v="Renewal subscription"/>
    <x v="7"/>
    <x v="0"/>
    <x v="0"/>
    <n v="196000"/>
    <n v="0.18"/>
    <x v="154"/>
    <n v="231280"/>
    <x v="1"/>
    <x v="0"/>
    <x v="0"/>
  </r>
  <r>
    <s v="TXN-1217"/>
    <x v="216"/>
    <x v="7"/>
    <x v="4"/>
    <n v="5501"/>
    <x v="4"/>
    <s v="Cybersecurity license"/>
    <x v="12"/>
    <x v="1"/>
    <x v="1"/>
    <n v="63360"/>
    <n v="0.18"/>
    <x v="67"/>
    <n v="74765"/>
    <x v="0"/>
    <x v="3"/>
    <x v="0"/>
  </r>
  <r>
    <s v="TXN-1218"/>
    <x v="217"/>
    <x v="7"/>
    <x v="0"/>
    <n v="4002"/>
    <x v="0"/>
    <s v="Implementation services"/>
    <x v="20"/>
    <x v="0"/>
    <x v="2"/>
    <n v="109200"/>
    <n v="0.18"/>
    <x v="127"/>
    <n v="128856"/>
    <x v="0"/>
    <x v="3"/>
    <x v="0"/>
  </r>
  <r>
    <s v="TXN-1219"/>
    <x v="218"/>
    <x v="7"/>
    <x v="3"/>
    <n v="5403"/>
    <x v="16"/>
    <s v="Contract review charges"/>
    <x v="22"/>
    <x v="1"/>
    <x v="0"/>
    <n v="44180"/>
    <n v="0.18"/>
    <x v="155"/>
    <n v="52132"/>
    <x v="0"/>
    <x v="2"/>
    <x v="0"/>
  </r>
  <r>
    <s v="TXN-1220"/>
    <x v="219"/>
    <x v="7"/>
    <x v="1"/>
    <n v="5204"/>
    <x v="17"/>
    <s v="Office maintenance contract"/>
    <x v="23"/>
    <x v="1"/>
    <x v="2"/>
    <n v="24250"/>
    <n v="0.18"/>
    <x v="61"/>
    <n v="28615"/>
    <x v="1"/>
    <x v="3"/>
    <x v="2"/>
  </r>
  <r>
    <s v="TXN-1221"/>
    <x v="220"/>
    <x v="7"/>
    <x v="3"/>
    <n v="4102"/>
    <x v="12"/>
    <s v="Foreign exchange gain"/>
    <x v="17"/>
    <x v="0"/>
    <x v="0"/>
    <n v="12000"/>
    <n v="0"/>
    <x v="20"/>
    <n v="12000"/>
    <x v="0"/>
    <x v="2"/>
    <x v="2"/>
  </r>
  <r>
    <s v="TXN-1222"/>
    <x v="221"/>
    <x v="7"/>
    <x v="5"/>
    <n v="5102"/>
    <x v="11"/>
    <s v="Digital ad campaign"/>
    <x v="16"/>
    <x v="1"/>
    <x v="1"/>
    <n v="46350"/>
    <n v="0.18"/>
    <x v="63"/>
    <n v="54693"/>
    <x v="0"/>
    <x v="3"/>
    <x v="1"/>
  </r>
  <r>
    <s v="TXN-1223"/>
    <x v="222"/>
    <x v="7"/>
    <x v="1"/>
    <n v="5201"/>
    <x v="1"/>
    <s v="Monthly office rent"/>
    <x v="1"/>
    <x v="1"/>
    <x v="0"/>
    <n v="84800"/>
    <n v="0.18"/>
    <x v="64"/>
    <n v="100064"/>
    <x v="0"/>
    <x v="1"/>
    <x v="0"/>
  </r>
  <r>
    <s v="TXN-1224"/>
    <x v="223"/>
    <x v="7"/>
    <x v="2"/>
    <n v="5301"/>
    <x v="2"/>
    <s v="Contract recruiter payout"/>
    <x v="2"/>
    <x v="1"/>
    <x v="0"/>
    <n v="32700"/>
    <n v="0.18"/>
    <x v="156"/>
    <n v="38586"/>
    <x v="1"/>
    <x v="0"/>
    <x v="1"/>
  </r>
  <r>
    <s v="TXN-1225"/>
    <x v="224"/>
    <x v="7"/>
    <x v="0"/>
    <n v="4001"/>
    <x v="0"/>
    <s v="Enterprise software license"/>
    <x v="0"/>
    <x v="0"/>
    <x v="0"/>
    <n v="280000"/>
    <n v="0.18"/>
    <x v="73"/>
    <n v="330400"/>
    <x v="0"/>
    <x v="0"/>
    <x v="0"/>
  </r>
  <r>
    <s v="TXN-1226"/>
    <x v="225"/>
    <x v="7"/>
    <x v="0"/>
    <n v="4002"/>
    <x v="0"/>
    <s v="Implementation services"/>
    <x v="20"/>
    <x v="0"/>
    <x v="2"/>
    <n v="105600"/>
    <n v="0.18"/>
    <x v="157"/>
    <n v="124608"/>
    <x v="0"/>
    <x v="3"/>
    <x v="0"/>
  </r>
  <r>
    <s v="TXN-1227"/>
    <x v="226"/>
    <x v="7"/>
    <x v="1"/>
    <n v="5202"/>
    <x v="13"/>
    <s v="Electricity bill"/>
    <x v="18"/>
    <x v="1"/>
    <x v="2"/>
    <n v="13650"/>
    <n v="0.18"/>
    <x v="68"/>
    <n v="16107"/>
    <x v="0"/>
    <x v="0"/>
    <x v="2"/>
  </r>
  <r>
    <s v="TXN-1228"/>
    <x v="227"/>
    <x v="7"/>
    <x v="5"/>
    <n v="5103"/>
    <x v="5"/>
    <s v="Trade expo booth booking"/>
    <x v="6"/>
    <x v="1"/>
    <x v="0"/>
    <n v="84600"/>
    <n v="0.18"/>
    <x v="69"/>
    <n v="99828"/>
    <x v="1"/>
    <x v="2"/>
    <x v="0"/>
  </r>
  <r>
    <s v="TXN-1229"/>
    <x v="228"/>
    <x v="7"/>
    <x v="2"/>
    <n v="5302"/>
    <x v="14"/>
    <s v="Leadership workshop"/>
    <x v="19"/>
    <x v="1"/>
    <x v="1"/>
    <n v="21340"/>
    <n v="0.18"/>
    <x v="158"/>
    <n v="25181"/>
    <x v="0"/>
    <x v="3"/>
    <x v="1"/>
  </r>
  <r>
    <s v="TXN-1230"/>
    <x v="229"/>
    <x v="7"/>
    <x v="4"/>
    <n v="5502"/>
    <x v="6"/>
    <s v="Laptops for new hires"/>
    <x v="8"/>
    <x v="1"/>
    <x v="0"/>
    <n v="150000"/>
    <n v="0.18"/>
    <x v="70"/>
    <n v="177000"/>
    <x v="0"/>
    <x v="2"/>
    <x v="0"/>
  </r>
  <r>
    <s v="TXN-1231"/>
    <x v="230"/>
    <x v="7"/>
    <x v="0"/>
    <n v="4002"/>
    <x v="0"/>
    <s v="Implementation milestone billing"/>
    <x v="14"/>
    <x v="0"/>
    <x v="0"/>
    <n v="216300"/>
    <n v="0.18"/>
    <x v="14"/>
    <n v="255234"/>
    <x v="0"/>
    <x v="1"/>
    <x v="0"/>
  </r>
  <r>
    <s v="TXN-1232"/>
    <x v="231"/>
    <x v="7"/>
    <x v="0"/>
    <n v="4003"/>
    <x v="0"/>
    <s v="Renewal subscription"/>
    <x v="7"/>
    <x v="0"/>
    <x v="0"/>
    <n v="185500"/>
    <n v="0.18"/>
    <x v="15"/>
    <n v="218890"/>
    <x v="1"/>
    <x v="0"/>
    <x v="0"/>
  </r>
  <r>
    <s v="TXN-1233"/>
    <x v="232"/>
    <x v="7"/>
    <x v="5"/>
    <n v="5104"/>
    <x v="8"/>
    <s v="Video production charges"/>
    <x v="11"/>
    <x v="1"/>
    <x v="0"/>
    <n v="70850"/>
    <n v="0.18"/>
    <x v="72"/>
    <n v="83603"/>
    <x v="0"/>
    <x v="2"/>
    <x v="1"/>
  </r>
  <r>
    <s v="TXN-1234"/>
    <x v="233"/>
    <x v="7"/>
    <x v="4"/>
    <n v="5501"/>
    <x v="4"/>
    <s v="Cybersecurity license"/>
    <x v="12"/>
    <x v="1"/>
    <x v="1"/>
    <n v="80640"/>
    <n v="0.18"/>
    <x v="81"/>
    <n v="95155"/>
    <x v="0"/>
    <x v="3"/>
    <x v="0"/>
  </r>
  <r>
    <s v="TXN-1235"/>
    <x v="234"/>
    <x v="7"/>
    <x v="2"/>
    <n v="5303"/>
    <x v="9"/>
    <s v="Job portal annual plan"/>
    <x v="13"/>
    <x v="1"/>
    <x v="1"/>
    <n v="35200"/>
    <n v="0.18"/>
    <x v="74"/>
    <n v="41536"/>
    <x v="0"/>
    <x v="1"/>
    <x v="1"/>
  </r>
  <r>
    <s v="TXN-1236"/>
    <x v="235"/>
    <x v="7"/>
    <x v="3"/>
    <n v="4101"/>
    <x v="18"/>
    <s v="Fixed deposit interest"/>
    <x v="24"/>
    <x v="0"/>
    <x v="0"/>
    <n v="16380"/>
    <n v="0"/>
    <x v="20"/>
    <n v="16380"/>
    <x v="1"/>
    <x v="1"/>
    <x v="2"/>
  </r>
  <r>
    <s v="TXN-1237"/>
    <x v="236"/>
    <x v="7"/>
    <x v="1"/>
    <n v="5204"/>
    <x v="17"/>
    <s v="Office maintenance contract"/>
    <x v="23"/>
    <x v="1"/>
    <x v="2"/>
    <n v="23500"/>
    <n v="0.18"/>
    <x v="76"/>
    <n v="27730"/>
    <x v="0"/>
    <x v="3"/>
    <x v="2"/>
  </r>
  <r>
    <s v="TXN-1238"/>
    <x v="237"/>
    <x v="7"/>
    <x v="5"/>
    <n v="5105"/>
    <x v="10"/>
    <s v="Public relations retainer"/>
    <x v="15"/>
    <x v="1"/>
    <x v="0"/>
    <n v="48500"/>
    <n v="0.18"/>
    <x v="159"/>
    <n v="57230"/>
    <x v="0"/>
    <x v="1"/>
    <x v="1"/>
  </r>
  <r>
    <s v="TXN-1239"/>
    <x v="238"/>
    <x v="7"/>
    <x v="0"/>
    <n v="4002"/>
    <x v="0"/>
    <s v="Implementation milestone billing"/>
    <x v="14"/>
    <x v="0"/>
    <x v="0"/>
    <n v="210000"/>
    <n v="0.18"/>
    <x v="160"/>
    <n v="247800"/>
    <x v="0"/>
    <x v="1"/>
    <x v="0"/>
  </r>
  <r>
    <s v="TXN-1240"/>
    <x v="239"/>
    <x v="7"/>
    <x v="1"/>
    <n v="5201"/>
    <x v="1"/>
    <s v="Monthly office rent"/>
    <x v="1"/>
    <x v="1"/>
    <x v="0"/>
    <n v="82400"/>
    <n v="0.18"/>
    <x v="78"/>
    <n v="97232"/>
    <x v="1"/>
    <x v="1"/>
    <x v="0"/>
  </r>
  <r>
    <s v="TXN-1241"/>
    <x v="240"/>
    <x v="7"/>
    <x v="0"/>
    <n v="4001"/>
    <x v="0"/>
    <s v="Enterprise software license"/>
    <x v="0"/>
    <x v="0"/>
    <x v="0"/>
    <n v="265000"/>
    <n v="0.18"/>
    <x v="139"/>
    <n v="312700"/>
    <x v="0"/>
    <x v="0"/>
    <x v="0"/>
  </r>
  <r>
    <s v="TXN-1242"/>
    <x v="241"/>
    <x v="7"/>
    <x v="3"/>
    <n v="5401"/>
    <x v="3"/>
    <s v="Quarterly tax advisory"/>
    <x v="3"/>
    <x v="1"/>
    <x v="0"/>
    <n v="65400"/>
    <n v="0.18"/>
    <x v="80"/>
    <n v="77172"/>
    <x v="0"/>
    <x v="2"/>
    <x v="0"/>
  </r>
  <r>
    <s v="TXN-1243"/>
    <x v="242"/>
    <x v="7"/>
    <x v="4"/>
    <n v="5501"/>
    <x v="4"/>
    <s v="CRM annual subscription"/>
    <x v="4"/>
    <x v="1"/>
    <x v="1"/>
    <n v="80640"/>
    <n v="0.18"/>
    <x v="81"/>
    <n v="95155"/>
    <x v="0"/>
    <x v="1"/>
    <x v="0"/>
  </r>
  <r>
    <s v="TXN-1244"/>
    <x v="243"/>
    <x v="8"/>
    <x v="1"/>
    <n v="5202"/>
    <x v="13"/>
    <s v="Electricity bill"/>
    <x v="18"/>
    <x v="1"/>
    <x v="2"/>
    <n v="13200"/>
    <n v="0.18"/>
    <x v="161"/>
    <n v="15576"/>
    <x v="1"/>
    <x v="0"/>
    <x v="2"/>
  </r>
  <r>
    <s v="TXN-1245"/>
    <x v="244"/>
    <x v="8"/>
    <x v="5"/>
    <n v="5103"/>
    <x v="5"/>
    <s v="Trade expo booth booking"/>
    <x v="6"/>
    <x v="1"/>
    <x v="0"/>
    <n v="81900"/>
    <n v="0.18"/>
    <x v="162"/>
    <n v="96642"/>
    <x v="0"/>
    <x v="2"/>
    <x v="0"/>
  </r>
  <r>
    <s v="TXN-1246"/>
    <x v="245"/>
    <x v="8"/>
    <x v="0"/>
    <n v="4001"/>
    <x v="0"/>
    <s v="Annual platform subscription"/>
    <x v="5"/>
    <x v="0"/>
    <x v="0"/>
    <n v="282000"/>
    <n v="0.18"/>
    <x v="163"/>
    <n v="332760"/>
    <x v="0"/>
    <x v="0"/>
    <x v="0"/>
  </r>
  <r>
    <s v="TXN-1247"/>
    <x v="246"/>
    <x v="8"/>
    <x v="4"/>
    <n v="5502"/>
    <x v="6"/>
    <s v="Laptops for new hires"/>
    <x v="8"/>
    <x v="1"/>
    <x v="0"/>
    <n v="145500"/>
    <n v="0.18"/>
    <x v="84"/>
    <n v="171690"/>
    <x v="0"/>
    <x v="2"/>
    <x v="0"/>
  </r>
  <r>
    <s v="TXN-1248"/>
    <x v="247"/>
    <x v="8"/>
    <x v="3"/>
    <n v="5402"/>
    <x v="7"/>
    <s v="Internal audit review"/>
    <x v="9"/>
    <x v="1"/>
    <x v="0"/>
    <n v="55000"/>
    <n v="0.18"/>
    <x v="85"/>
    <n v="64900"/>
    <x v="1"/>
    <x v="1"/>
    <x v="0"/>
  </r>
  <r>
    <s v="TXN-1249"/>
    <x v="248"/>
    <x v="8"/>
    <x v="1"/>
    <n v="5203"/>
    <x v="15"/>
    <s v="Client site visit travel"/>
    <x v="21"/>
    <x v="1"/>
    <x v="1"/>
    <n v="27810"/>
    <n v="0.05"/>
    <x v="164"/>
    <n v="29201"/>
    <x v="0"/>
    <x v="2"/>
    <x v="1"/>
  </r>
  <r>
    <s v="TXN-1250"/>
    <x v="249"/>
    <x v="8"/>
    <x v="5"/>
    <n v="5104"/>
    <x v="8"/>
    <s v="Video production charges"/>
    <x v="11"/>
    <x v="1"/>
    <x v="0"/>
    <n v="68900"/>
    <n v="0.18"/>
    <x v="87"/>
    <n v="81302"/>
    <x v="0"/>
    <x v="2"/>
    <x v="1"/>
  </r>
  <r>
    <s v="TXN-1251"/>
    <x v="250"/>
    <x v="8"/>
    <x v="0"/>
    <n v="4003"/>
    <x v="0"/>
    <s v="Support retainer"/>
    <x v="10"/>
    <x v="0"/>
    <x v="0"/>
    <n v="103550"/>
    <n v="0.18"/>
    <x v="165"/>
    <n v="122189"/>
    <x v="0"/>
    <x v="3"/>
    <x v="1"/>
  </r>
  <r>
    <s v="TXN-1252"/>
    <x v="251"/>
    <x v="8"/>
    <x v="2"/>
    <n v="5303"/>
    <x v="9"/>
    <s v="Job portal annual plan"/>
    <x v="13"/>
    <x v="1"/>
    <x v="1"/>
    <n v="44800"/>
    <n v="0.18"/>
    <x v="166"/>
    <n v="52864"/>
    <x v="1"/>
    <x v="1"/>
    <x v="1"/>
  </r>
  <r>
    <s v="TXN-1253"/>
    <x v="252"/>
    <x v="8"/>
    <x v="3"/>
    <n v="4102"/>
    <x v="12"/>
    <s v="Foreign exchange gain"/>
    <x v="17"/>
    <x v="0"/>
    <x v="0"/>
    <n v="10560"/>
    <n v="0"/>
    <x v="20"/>
    <n v="10560"/>
    <x v="0"/>
    <x v="2"/>
    <x v="2"/>
  </r>
  <r>
    <s v="TXN-1254"/>
    <x v="253"/>
    <x v="8"/>
    <x v="1"/>
    <n v="5204"/>
    <x v="17"/>
    <s v="Office maintenance contract"/>
    <x v="23"/>
    <x v="1"/>
    <x v="2"/>
    <n v="22750"/>
    <n v="0.18"/>
    <x v="167"/>
    <n v="26845"/>
    <x v="0"/>
    <x v="3"/>
    <x v="2"/>
  </r>
  <r>
    <s v="TXN-1255"/>
    <x v="254"/>
    <x v="8"/>
    <x v="5"/>
    <n v="5105"/>
    <x v="10"/>
    <s v="Public relations retainer"/>
    <x v="15"/>
    <x v="1"/>
    <x v="0"/>
    <n v="47000"/>
    <n v="0.18"/>
    <x v="30"/>
    <n v="55460"/>
    <x v="0"/>
    <x v="1"/>
    <x v="1"/>
  </r>
  <r>
    <s v="TXN-1256"/>
    <x v="255"/>
    <x v="8"/>
    <x v="0"/>
    <n v="4003"/>
    <x v="0"/>
    <s v="Renewal subscription"/>
    <x v="7"/>
    <x v="0"/>
    <x v="0"/>
    <n v="169750"/>
    <n v="0.18"/>
    <x v="168"/>
    <n v="200305"/>
    <x v="1"/>
    <x v="0"/>
    <x v="0"/>
  </r>
  <r>
    <s v="TXN-1257"/>
    <x v="256"/>
    <x v="8"/>
    <x v="1"/>
    <n v="5201"/>
    <x v="1"/>
    <s v="Monthly office rent"/>
    <x v="1"/>
    <x v="1"/>
    <x v="0"/>
    <n v="80000"/>
    <n v="0.18"/>
    <x v="92"/>
    <n v="94400"/>
    <x v="0"/>
    <x v="1"/>
    <x v="0"/>
  </r>
  <r>
    <s v="TXN-1258"/>
    <x v="257"/>
    <x v="8"/>
    <x v="2"/>
    <n v="5301"/>
    <x v="2"/>
    <s v="Contract recruiter payout"/>
    <x v="2"/>
    <x v="1"/>
    <x v="0"/>
    <n v="30900"/>
    <n v="0.18"/>
    <x v="93"/>
    <n v="36462"/>
    <x v="0"/>
    <x v="0"/>
    <x v="1"/>
  </r>
  <r>
    <s v="TXN-1259"/>
    <x v="258"/>
    <x v="8"/>
    <x v="3"/>
    <n v="5401"/>
    <x v="3"/>
    <s v="Quarterly tax advisory"/>
    <x v="3"/>
    <x v="1"/>
    <x v="0"/>
    <n v="63600"/>
    <n v="0.18"/>
    <x v="169"/>
    <n v="75048"/>
    <x v="0"/>
    <x v="2"/>
    <x v="0"/>
  </r>
  <r>
    <s v="TXN-1260"/>
    <x v="259"/>
    <x v="8"/>
    <x v="3"/>
    <n v="4101"/>
    <x v="18"/>
    <s v="Fixed deposit interest"/>
    <x v="24"/>
    <x v="0"/>
    <x v="0"/>
    <n v="19620"/>
    <n v="0"/>
    <x v="20"/>
    <n v="19620"/>
    <x v="1"/>
    <x v="1"/>
    <x v="2"/>
  </r>
  <r>
    <s v="TXN-1261"/>
    <x v="260"/>
    <x v="8"/>
    <x v="3"/>
    <n v="4102"/>
    <x v="12"/>
    <s v="Foreign exchange gain"/>
    <x v="17"/>
    <x v="0"/>
    <x v="0"/>
    <n v="13440"/>
    <n v="0"/>
    <x v="20"/>
    <n v="13440"/>
    <x v="0"/>
    <x v="2"/>
    <x v="2"/>
  </r>
  <r>
    <s v="TXN-1262"/>
    <x v="261"/>
    <x v="8"/>
    <x v="5"/>
    <n v="5103"/>
    <x v="5"/>
    <s v="Trade expo booth booking"/>
    <x v="6"/>
    <x v="1"/>
    <x v="0"/>
    <n v="79200"/>
    <n v="0.18"/>
    <x v="96"/>
    <n v="93456"/>
    <x v="0"/>
    <x v="2"/>
    <x v="0"/>
  </r>
  <r>
    <s v="TXN-1263"/>
    <x v="262"/>
    <x v="8"/>
    <x v="2"/>
    <n v="5302"/>
    <x v="14"/>
    <s v="Leadership workshop"/>
    <x v="19"/>
    <x v="1"/>
    <x v="1"/>
    <n v="20020"/>
    <n v="0.18"/>
    <x v="97"/>
    <n v="23624"/>
    <x v="0"/>
    <x v="3"/>
    <x v="1"/>
  </r>
  <r>
    <s v="TXN-1264"/>
    <x v="263"/>
    <x v="8"/>
    <x v="4"/>
    <n v="5502"/>
    <x v="6"/>
    <s v="Laptops for new hires"/>
    <x v="8"/>
    <x v="1"/>
    <x v="0"/>
    <n v="141000"/>
    <n v="0.18"/>
    <x v="170"/>
    <n v="166380"/>
    <x v="1"/>
    <x v="2"/>
    <x v="0"/>
  </r>
  <r>
    <s v="TXN-1265"/>
    <x v="264"/>
    <x v="8"/>
    <x v="3"/>
    <n v="5402"/>
    <x v="7"/>
    <s v="Internal audit review"/>
    <x v="9"/>
    <x v="1"/>
    <x v="0"/>
    <n v="53350"/>
    <n v="0.18"/>
    <x v="99"/>
    <n v="62953"/>
    <x v="0"/>
    <x v="1"/>
    <x v="0"/>
  </r>
  <r>
    <s v="TXN-1266"/>
    <x v="265"/>
    <x v="8"/>
    <x v="0"/>
    <n v="4002"/>
    <x v="0"/>
    <s v="Implementation services"/>
    <x v="20"/>
    <x v="0"/>
    <x v="2"/>
    <n v="120000"/>
    <n v="0.18"/>
    <x v="46"/>
    <n v="141600"/>
    <x v="0"/>
    <x v="3"/>
    <x v="0"/>
  </r>
  <r>
    <s v="TXN-1267"/>
    <x v="266"/>
    <x v="8"/>
    <x v="0"/>
    <n v="4003"/>
    <x v="0"/>
    <s v="Support retainer"/>
    <x v="10"/>
    <x v="0"/>
    <x v="0"/>
    <n v="97850"/>
    <n v="0.18"/>
    <x v="47"/>
    <n v="115463"/>
    <x v="0"/>
    <x v="3"/>
    <x v="1"/>
  </r>
  <r>
    <s v="TXN-1268"/>
    <x v="267"/>
    <x v="8"/>
    <x v="4"/>
    <n v="5501"/>
    <x v="4"/>
    <s v="Cybersecurity license"/>
    <x v="12"/>
    <x v="1"/>
    <x v="1"/>
    <n v="76320"/>
    <n v="0.18"/>
    <x v="101"/>
    <n v="90058"/>
    <x v="1"/>
    <x v="3"/>
    <x v="0"/>
  </r>
  <r>
    <s v="TXN-1269"/>
    <x v="268"/>
    <x v="8"/>
    <x v="2"/>
    <n v="5303"/>
    <x v="9"/>
    <s v="Job portal annual plan"/>
    <x v="13"/>
    <x v="1"/>
    <x v="1"/>
    <n v="43600"/>
    <n v="0.18"/>
    <x v="171"/>
    <n v="51448"/>
    <x v="0"/>
    <x v="1"/>
    <x v="1"/>
  </r>
  <r>
    <s v="TXN-1270"/>
    <x v="269"/>
    <x v="8"/>
    <x v="3"/>
    <n v="5403"/>
    <x v="16"/>
    <s v="Contract review charges"/>
    <x v="22"/>
    <x v="1"/>
    <x v="0"/>
    <n v="52640"/>
    <n v="0.18"/>
    <x v="102"/>
    <n v="62115"/>
    <x v="0"/>
    <x v="2"/>
    <x v="0"/>
  </r>
  <r>
    <s v="TXN-1271"/>
    <x v="270"/>
    <x v="8"/>
    <x v="0"/>
    <n v="4002"/>
    <x v="0"/>
    <s v="Implementation milestone billing"/>
    <x v="14"/>
    <x v="0"/>
    <x v="0"/>
    <n v="184800"/>
    <n v="0.18"/>
    <x v="110"/>
    <n v="218064"/>
    <x v="0"/>
    <x v="1"/>
    <x v="0"/>
  </r>
  <r>
    <s v="TXN-1272"/>
    <x v="271"/>
    <x v="8"/>
    <x v="5"/>
    <n v="5105"/>
    <x v="10"/>
    <s v="Public relations retainer"/>
    <x v="15"/>
    <x v="1"/>
    <x v="0"/>
    <n v="45500"/>
    <n v="0.18"/>
    <x v="103"/>
    <n v="53690"/>
    <x v="1"/>
    <x v="1"/>
    <x v="1"/>
  </r>
  <r>
    <s v="TXN-1273"/>
    <x v="272"/>
    <x v="8"/>
    <x v="5"/>
    <n v="5102"/>
    <x v="11"/>
    <s v="Digital ad campaign"/>
    <x v="16"/>
    <x v="1"/>
    <x v="1"/>
    <n v="42300"/>
    <n v="0.18"/>
    <x v="172"/>
    <n v="49914"/>
    <x v="0"/>
    <x v="3"/>
    <x v="1"/>
  </r>
  <r>
    <s v="TXN-1274"/>
    <x v="273"/>
    <x v="9"/>
    <x v="0"/>
    <n v="4002"/>
    <x v="0"/>
    <s v="Implementation services"/>
    <x v="20"/>
    <x v="0"/>
    <x v="2"/>
    <n v="116400"/>
    <n v="0.18"/>
    <x v="173"/>
    <n v="137352"/>
    <x v="0"/>
    <x v="3"/>
    <x v="0"/>
  </r>
  <r>
    <s v="TXN-1275"/>
    <x v="274"/>
    <x v="9"/>
    <x v="2"/>
    <n v="5301"/>
    <x v="2"/>
    <s v="Contract recruiter payout"/>
    <x v="2"/>
    <x v="1"/>
    <x v="0"/>
    <n v="30000"/>
    <n v="0.18"/>
    <x v="106"/>
    <n v="35400"/>
    <x v="0"/>
    <x v="0"/>
    <x v="1"/>
  </r>
  <r>
    <s v="TXN-1276"/>
    <x v="275"/>
    <x v="9"/>
    <x v="3"/>
    <n v="4101"/>
    <x v="18"/>
    <s v="Fixed deposit interest"/>
    <x v="24"/>
    <x v="0"/>
    <x v="0"/>
    <n v="18540"/>
    <n v="0"/>
    <x v="20"/>
    <n v="18540"/>
    <x v="1"/>
    <x v="1"/>
    <x v="2"/>
  </r>
  <r>
    <s v="TXN-1277"/>
    <x v="276"/>
    <x v="9"/>
    <x v="4"/>
    <n v="5501"/>
    <x v="4"/>
    <s v="CRM annual subscription"/>
    <x v="4"/>
    <x v="1"/>
    <x v="1"/>
    <n v="76320"/>
    <n v="0.18"/>
    <x v="101"/>
    <n v="90058"/>
    <x v="0"/>
    <x v="1"/>
    <x v="0"/>
  </r>
  <r>
    <s v="TXN-1278"/>
    <x v="277"/>
    <x v="9"/>
    <x v="1"/>
    <n v="5202"/>
    <x v="13"/>
    <s v="Electricity bill"/>
    <x v="18"/>
    <x v="1"/>
    <x v="2"/>
    <n v="16350"/>
    <n v="0.18"/>
    <x v="108"/>
    <n v="19293"/>
    <x v="0"/>
    <x v="0"/>
    <x v="2"/>
  </r>
  <r>
    <s v="TXN-1279"/>
    <x v="278"/>
    <x v="9"/>
    <x v="5"/>
    <n v="5103"/>
    <x v="5"/>
    <s v="Trade expo booth booking"/>
    <x v="6"/>
    <x v="1"/>
    <x v="0"/>
    <n v="100800"/>
    <n v="0.18"/>
    <x v="174"/>
    <n v="118944"/>
    <x v="0"/>
    <x v="2"/>
    <x v="0"/>
  </r>
  <r>
    <s v="TXN-1280"/>
    <x v="279"/>
    <x v="9"/>
    <x v="2"/>
    <n v="5302"/>
    <x v="14"/>
    <s v="Leadership workshop"/>
    <x v="19"/>
    <x v="1"/>
    <x v="1"/>
    <n v="19360"/>
    <n v="0.18"/>
    <x v="175"/>
    <n v="22845"/>
    <x v="1"/>
    <x v="3"/>
    <x v="1"/>
  </r>
  <r>
    <s v="TXN-1281"/>
    <x v="280"/>
    <x v="9"/>
    <x v="0"/>
    <n v="4001"/>
    <x v="0"/>
    <s v="Enterprise software license"/>
    <x v="0"/>
    <x v="0"/>
    <x v="0"/>
    <n v="227500"/>
    <n v="0.18"/>
    <x v="176"/>
    <n v="268450"/>
    <x v="0"/>
    <x v="0"/>
    <x v="0"/>
  </r>
  <r>
    <s v="TXN-1282"/>
    <x v="281"/>
    <x v="9"/>
    <x v="3"/>
    <n v="5402"/>
    <x v="7"/>
    <s v="Internal audit review"/>
    <x v="9"/>
    <x v="1"/>
    <x v="0"/>
    <n v="51700"/>
    <n v="0.18"/>
    <x v="112"/>
    <n v="61006"/>
    <x v="0"/>
    <x v="1"/>
    <x v="0"/>
  </r>
  <r>
    <s v="TXN-1283"/>
    <x v="282"/>
    <x v="9"/>
    <x v="1"/>
    <n v="5203"/>
    <x v="15"/>
    <s v="Client site visit travel"/>
    <x v="21"/>
    <x v="1"/>
    <x v="1"/>
    <n v="26190"/>
    <n v="0.05"/>
    <x v="113"/>
    <n v="27500"/>
    <x v="0"/>
    <x v="2"/>
    <x v="1"/>
  </r>
  <r>
    <s v="TXN-1284"/>
    <x v="283"/>
    <x v="9"/>
    <x v="5"/>
    <n v="5104"/>
    <x v="8"/>
    <s v="Video production charges"/>
    <x v="11"/>
    <x v="1"/>
    <x v="0"/>
    <n v="65000"/>
    <n v="0.18"/>
    <x v="177"/>
    <n v="76700"/>
    <x v="1"/>
    <x v="2"/>
    <x v="1"/>
  </r>
  <r>
    <s v="TXN-1285"/>
    <x v="284"/>
    <x v="9"/>
    <x v="4"/>
    <n v="5501"/>
    <x v="4"/>
    <s v="Cybersecurity license"/>
    <x v="12"/>
    <x v="1"/>
    <x v="1"/>
    <n v="74160"/>
    <n v="0.18"/>
    <x v="115"/>
    <n v="87509"/>
    <x v="0"/>
    <x v="3"/>
    <x v="0"/>
  </r>
  <r>
    <s v="TXN-1286"/>
    <x v="285"/>
    <x v="9"/>
    <x v="0"/>
    <n v="4001"/>
    <x v="0"/>
    <s v="Annual platform subscription"/>
    <x v="5"/>
    <x v="0"/>
    <x v="0"/>
    <n v="318000"/>
    <n v="0.18"/>
    <x v="178"/>
    <n v="375240"/>
    <x v="0"/>
    <x v="0"/>
    <x v="0"/>
  </r>
  <r>
    <s v="TXN-1287"/>
    <x v="286"/>
    <x v="9"/>
    <x v="3"/>
    <n v="5403"/>
    <x v="16"/>
    <s v="Contract review charges"/>
    <x v="22"/>
    <x v="1"/>
    <x v="0"/>
    <n v="51230"/>
    <n v="0.18"/>
    <x v="179"/>
    <n v="60451"/>
    <x v="0"/>
    <x v="2"/>
    <x v="0"/>
  </r>
  <r>
    <s v="TXN-1288"/>
    <x v="287"/>
    <x v="9"/>
    <x v="0"/>
    <n v="4003"/>
    <x v="0"/>
    <s v="Renewal subscription"/>
    <x v="7"/>
    <x v="0"/>
    <x v="0"/>
    <n v="196000"/>
    <n v="0.18"/>
    <x v="154"/>
    <n v="231280"/>
    <x v="1"/>
    <x v="0"/>
    <x v="0"/>
  </r>
  <r>
    <s v="TXN-1289"/>
    <x v="288"/>
    <x v="9"/>
    <x v="5"/>
    <n v="5105"/>
    <x v="10"/>
    <s v="Public relations retainer"/>
    <x v="15"/>
    <x v="1"/>
    <x v="0"/>
    <n v="44000"/>
    <n v="0.18"/>
    <x v="180"/>
    <n v="51920"/>
    <x v="0"/>
    <x v="1"/>
    <x v="1"/>
  </r>
  <r>
    <s v="TXN-1290"/>
    <x v="289"/>
    <x v="9"/>
    <x v="5"/>
    <n v="5102"/>
    <x v="11"/>
    <s v="Digital ad campaign"/>
    <x v="16"/>
    <x v="1"/>
    <x v="1"/>
    <n v="40950"/>
    <n v="0.18"/>
    <x v="119"/>
    <n v="48321"/>
    <x v="0"/>
    <x v="3"/>
    <x v="1"/>
  </r>
  <r>
    <s v="TXN-1291"/>
    <x v="290"/>
    <x v="9"/>
    <x v="0"/>
    <n v="4003"/>
    <x v="0"/>
    <s v="Support retainer"/>
    <x v="10"/>
    <x v="0"/>
    <x v="0"/>
    <n v="89300"/>
    <n v="0.18"/>
    <x v="181"/>
    <n v="105374"/>
    <x v="0"/>
    <x v="3"/>
    <x v="1"/>
  </r>
  <r>
    <s v="TXN-1292"/>
    <x v="291"/>
    <x v="9"/>
    <x v="2"/>
    <n v="5301"/>
    <x v="2"/>
    <s v="Contract recruiter payout"/>
    <x v="2"/>
    <x v="1"/>
    <x v="0"/>
    <n v="29100"/>
    <n v="0.18"/>
    <x v="121"/>
    <n v="34338"/>
    <x v="1"/>
    <x v="0"/>
    <x v="1"/>
  </r>
  <r>
    <s v="TXN-1293"/>
    <x v="292"/>
    <x v="9"/>
    <x v="3"/>
    <n v="5401"/>
    <x v="3"/>
    <s v="Quarterly tax advisory"/>
    <x v="3"/>
    <x v="1"/>
    <x v="0"/>
    <n v="60000"/>
    <n v="0.18"/>
    <x v="122"/>
    <n v="70800"/>
    <x v="0"/>
    <x v="2"/>
    <x v="0"/>
  </r>
  <r>
    <s v="TXN-1294"/>
    <x v="293"/>
    <x v="9"/>
    <x v="4"/>
    <n v="5501"/>
    <x v="4"/>
    <s v="CRM annual subscription"/>
    <x v="4"/>
    <x v="1"/>
    <x v="1"/>
    <n v="74160"/>
    <n v="0.18"/>
    <x v="115"/>
    <n v="87509"/>
    <x v="0"/>
    <x v="1"/>
    <x v="0"/>
  </r>
  <r>
    <s v="TXN-1295"/>
    <x v="294"/>
    <x v="9"/>
    <x v="0"/>
    <n v="4002"/>
    <x v="0"/>
    <s v="Implementation milestone billing"/>
    <x v="14"/>
    <x v="0"/>
    <x v="0"/>
    <n v="222600"/>
    <n v="0.18"/>
    <x v="130"/>
    <n v="262668"/>
    <x v="0"/>
    <x v="1"/>
    <x v="0"/>
  </r>
  <r>
    <s v="TXN-1296"/>
    <x v="295"/>
    <x v="9"/>
    <x v="0"/>
    <n v="4003"/>
    <x v="0"/>
    <s v="Renewal subscription"/>
    <x v="7"/>
    <x v="0"/>
    <x v="0"/>
    <n v="190750"/>
    <n v="0.18"/>
    <x v="7"/>
    <n v="225085"/>
    <x v="1"/>
    <x v="0"/>
    <x v="0"/>
  </r>
  <r>
    <s v="TXN-1297"/>
    <x v="296"/>
    <x v="9"/>
    <x v="2"/>
    <n v="5302"/>
    <x v="14"/>
    <s v="Leadership workshop"/>
    <x v="19"/>
    <x v="1"/>
    <x v="1"/>
    <n v="24640"/>
    <n v="0.18"/>
    <x v="125"/>
    <n v="29075"/>
    <x v="0"/>
    <x v="3"/>
    <x v="1"/>
  </r>
  <r>
    <s v="TXN-1298"/>
    <x v="297"/>
    <x v="9"/>
    <x v="4"/>
    <n v="5502"/>
    <x v="6"/>
    <s v="Laptops for new hires"/>
    <x v="8"/>
    <x v="1"/>
    <x v="0"/>
    <n v="132000"/>
    <n v="0.18"/>
    <x v="126"/>
    <n v="155760"/>
    <x v="0"/>
    <x v="2"/>
    <x v="0"/>
  </r>
  <r>
    <s v="TXN-1299"/>
    <x v="298"/>
    <x v="9"/>
    <x v="3"/>
    <n v="5402"/>
    <x v="7"/>
    <s v="Internal audit review"/>
    <x v="9"/>
    <x v="1"/>
    <x v="0"/>
    <n v="50050"/>
    <n v="0.18"/>
    <x v="182"/>
    <n v="59059"/>
    <x v="0"/>
    <x v="1"/>
    <x v="0"/>
  </r>
  <r>
    <s v="TXN-1300"/>
    <x v="299"/>
    <x v="9"/>
    <x v="1"/>
    <n v="5203"/>
    <x v="15"/>
    <s v="Client site visit travel"/>
    <x v="21"/>
    <x v="1"/>
    <x v="1"/>
    <n v="25380"/>
    <n v="0.05"/>
    <x v="128"/>
    <n v="26649"/>
    <x v="1"/>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1EDF29-2A87-4F60-9AE8-8FF321EDCE02}"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K4:L6" firstHeaderRow="1" firstDataRow="1" firstDataCol="1"/>
  <pivotFields count="19">
    <pivotField showAll="0"/>
    <pivotField numFmtId="165"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11">
        <item x="0"/>
        <item x="1"/>
        <item x="2"/>
        <item x="3"/>
        <item x="4"/>
        <item x="5"/>
        <item x="6"/>
        <item x="7"/>
        <item x="8"/>
        <item x="9"/>
        <item t="default"/>
      </items>
    </pivotField>
    <pivotField showAll="0">
      <items count="7">
        <item x="3"/>
        <item x="2"/>
        <item x="4"/>
        <item x="5"/>
        <item x="1"/>
        <item x="0"/>
        <item t="default"/>
      </items>
    </pivotField>
    <pivotField showAll="0"/>
    <pivotField showAll="0">
      <items count="20">
        <item x="11"/>
        <item x="7"/>
        <item x="3"/>
        <item x="8"/>
        <item x="5"/>
        <item x="6"/>
        <item x="18"/>
        <item x="16"/>
        <item x="17"/>
        <item x="1"/>
        <item x="12"/>
        <item x="10"/>
        <item x="9"/>
        <item x="0"/>
        <item x="2"/>
        <item x="4"/>
        <item x="14"/>
        <item x="15"/>
        <item x="13"/>
        <item t="default"/>
      </items>
    </pivotField>
    <pivotField showAll="0"/>
    <pivotField showAll="0">
      <items count="26">
        <item x="0"/>
        <item x="9"/>
        <item x="10"/>
        <item x="15"/>
        <item x="16"/>
        <item x="18"/>
        <item x="4"/>
        <item x="6"/>
        <item x="3"/>
        <item x="23"/>
        <item x="17"/>
        <item x="13"/>
        <item x="22"/>
        <item x="24"/>
        <item x="20"/>
        <item x="14"/>
        <item x="12"/>
        <item x="19"/>
        <item x="21"/>
        <item x="11"/>
        <item x="2"/>
        <item x="8"/>
        <item x="1"/>
        <item x="7"/>
        <item x="5"/>
        <item t="default"/>
      </items>
    </pivotField>
    <pivotField axis="axisRow" showAll="0">
      <items count="3">
        <item x="1"/>
        <item x="0"/>
        <item t="default"/>
      </items>
    </pivotField>
    <pivotField showAll="0">
      <items count="4">
        <item x="0"/>
        <item x="1"/>
        <item x="2"/>
        <item t="default"/>
      </items>
    </pivotField>
    <pivotField numFmtId="164" showAll="0"/>
    <pivotField numFmtId="10" showAll="0"/>
    <pivotField numFmtId="164" showAll="0"/>
    <pivotField dataField="1" numFmtId="164" showAll="0"/>
    <pivotField showAll="0">
      <items count="3">
        <item x="0"/>
        <item x="1"/>
        <item t="default"/>
      </items>
    </pivotField>
    <pivotField showAll="0">
      <items count="5">
        <item x="2"/>
        <item x="0"/>
        <item x="1"/>
        <item x="3"/>
        <item t="default"/>
      </items>
    </pivotField>
    <pivotField showAll="0">
      <items count="4">
        <item x="0"/>
        <item x="2"/>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2">
    <i>
      <x/>
    </i>
    <i>
      <x v="1"/>
    </i>
  </rowItems>
  <colItems count="1">
    <i/>
  </colItems>
  <dataFields count="1">
    <dataField name="Sum of Net Amount" fld="1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F0672E-20AE-4B0C-A1F9-2375D97918A3}"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3:B13" firstHeaderRow="1" firstDataRow="1" firstDataCol="1"/>
  <pivotFields count="19">
    <pivotField showAll="0"/>
    <pivotField numFmtId="165"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axis="axisRow" showAll="0">
      <items count="11">
        <item x="0"/>
        <item x="1"/>
        <item x="2"/>
        <item x="3"/>
        <item x="4"/>
        <item x="5"/>
        <item x="6"/>
        <item x="7"/>
        <item x="8"/>
        <item x="9"/>
        <item t="default"/>
      </items>
    </pivotField>
    <pivotField dataField="1" showAll="0">
      <items count="7">
        <item x="3"/>
        <item x="2"/>
        <item x="4"/>
        <item x="5"/>
        <item x="1"/>
        <item x="0"/>
        <item t="default"/>
      </items>
    </pivotField>
    <pivotField showAll="0"/>
    <pivotField showAll="0">
      <items count="20">
        <item x="11"/>
        <item x="7"/>
        <item x="3"/>
        <item x="8"/>
        <item x="5"/>
        <item x="6"/>
        <item x="18"/>
        <item x="16"/>
        <item x="17"/>
        <item x="1"/>
        <item x="12"/>
        <item x="10"/>
        <item x="9"/>
        <item x="0"/>
        <item x="2"/>
        <item x="4"/>
        <item x="14"/>
        <item x="15"/>
        <item x="13"/>
        <item t="default"/>
      </items>
    </pivotField>
    <pivotField showAll="0"/>
    <pivotField showAll="0">
      <items count="26">
        <item x="0"/>
        <item x="9"/>
        <item x="10"/>
        <item x="15"/>
        <item x="16"/>
        <item x="18"/>
        <item x="4"/>
        <item x="6"/>
        <item x="3"/>
        <item x="23"/>
        <item x="17"/>
        <item x="13"/>
        <item x="22"/>
        <item x="24"/>
        <item x="20"/>
        <item x="14"/>
        <item x="12"/>
        <item x="19"/>
        <item x="21"/>
        <item x="11"/>
        <item x="2"/>
        <item x="8"/>
        <item x="1"/>
        <item x="7"/>
        <item x="5"/>
        <item t="default"/>
      </items>
    </pivotField>
    <pivotField showAll="0">
      <items count="3">
        <item x="1"/>
        <item x="0"/>
        <item t="default"/>
      </items>
    </pivotField>
    <pivotField showAll="0">
      <items count="4">
        <item x="0"/>
        <item x="1"/>
        <item x="2"/>
        <item t="default"/>
      </items>
    </pivotField>
    <pivotField numFmtId="164" showAll="0"/>
    <pivotField numFmtId="10" showAll="0"/>
    <pivotField numFmtId="164" showAll="0"/>
    <pivotField numFmtId="164" showAll="0"/>
    <pivotField showAll="0">
      <items count="3">
        <item x="0"/>
        <item x="1"/>
        <item t="default"/>
      </items>
    </pivotField>
    <pivotField showAll="0">
      <items count="5">
        <item x="2"/>
        <item x="0"/>
        <item x="1"/>
        <item x="3"/>
        <item t="default"/>
      </items>
    </pivotField>
    <pivotField showAll="0">
      <items count="4">
        <item x="0"/>
        <item x="2"/>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0">
    <i>
      <x/>
    </i>
    <i>
      <x v="1"/>
    </i>
    <i>
      <x v="2"/>
    </i>
    <i>
      <x v="3"/>
    </i>
    <i>
      <x v="4"/>
    </i>
    <i>
      <x v="5"/>
    </i>
    <i>
      <x v="6"/>
    </i>
    <i>
      <x v="7"/>
    </i>
    <i>
      <x v="8"/>
    </i>
    <i>
      <x v="9"/>
    </i>
  </rowItems>
  <colItems count="1">
    <i/>
  </colItems>
  <dataFields count="1">
    <dataField name="Count of Department" fld="3" subtotal="count" baseField="0" baseItem="0"/>
  </dataFields>
  <chartFormats count="11">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2" count="1" selected="0">
            <x v="1"/>
          </reference>
        </references>
      </pivotArea>
    </chartFormat>
    <chartFormat chart="5" format="20">
      <pivotArea type="data" outline="0" fieldPosition="0">
        <references count="2">
          <reference field="4294967294" count="1" selected="0">
            <x v="0"/>
          </reference>
          <reference field="2" count="1" selected="0">
            <x v="2"/>
          </reference>
        </references>
      </pivotArea>
    </chartFormat>
    <chartFormat chart="5" format="21">
      <pivotArea type="data" outline="0" fieldPosition="0">
        <references count="2">
          <reference field="4294967294" count="1" selected="0">
            <x v="0"/>
          </reference>
          <reference field="2" count="1" selected="0">
            <x v="3"/>
          </reference>
        </references>
      </pivotArea>
    </chartFormat>
    <chartFormat chart="5" format="22">
      <pivotArea type="data" outline="0" fieldPosition="0">
        <references count="2">
          <reference field="4294967294" count="1" selected="0">
            <x v="0"/>
          </reference>
          <reference field="2" count="1" selected="0">
            <x v="4"/>
          </reference>
        </references>
      </pivotArea>
    </chartFormat>
    <chartFormat chart="5" format="23">
      <pivotArea type="data" outline="0" fieldPosition="0">
        <references count="2">
          <reference field="4294967294" count="1" selected="0">
            <x v="0"/>
          </reference>
          <reference field="2" count="1" selected="0">
            <x v="5"/>
          </reference>
        </references>
      </pivotArea>
    </chartFormat>
    <chartFormat chart="5" format="24">
      <pivotArea type="data" outline="0" fieldPosition="0">
        <references count="2">
          <reference field="4294967294" count="1" selected="0">
            <x v="0"/>
          </reference>
          <reference field="2" count="1" selected="0">
            <x v="6"/>
          </reference>
        </references>
      </pivotArea>
    </chartFormat>
    <chartFormat chart="5" format="25">
      <pivotArea type="data" outline="0" fieldPosition="0">
        <references count="2">
          <reference field="4294967294" count="1" selected="0">
            <x v="0"/>
          </reference>
          <reference field="2" count="1" selected="0">
            <x v="0"/>
          </reference>
        </references>
      </pivotArea>
    </chartFormat>
    <chartFormat chart="5" format="26">
      <pivotArea type="data" outline="0" fieldPosition="0">
        <references count="2">
          <reference field="4294967294" count="1" selected="0">
            <x v="0"/>
          </reference>
          <reference field="2" count="1" selected="0">
            <x v="7"/>
          </reference>
        </references>
      </pivotArea>
    </chartFormat>
    <chartFormat chart="5" format="27">
      <pivotArea type="data" outline="0" fieldPosition="0">
        <references count="2">
          <reference field="4294967294" count="1" selected="0">
            <x v="0"/>
          </reference>
          <reference field="2" count="1" selected="0">
            <x v="8"/>
          </reference>
        </references>
      </pivotArea>
    </chartFormat>
    <chartFormat chart="5" format="28">
      <pivotArea type="data" outline="0" fieldPosition="0">
        <references count="2">
          <reference field="4294967294" count="1" selected="0">
            <x v="0"/>
          </reference>
          <reference field="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2F84C6-6D0D-4121-A54D-3028E3EA0703}"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C10" firstHeaderRow="1" firstDataRow="2" firstDataCol="1"/>
  <pivotFields count="19">
    <pivotField showAll="0"/>
    <pivotField numFmtId="165"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11">
        <item x="0"/>
        <item x="1"/>
        <item x="2"/>
        <item x="3"/>
        <item x="4"/>
        <item x="5"/>
        <item x="6"/>
        <item x="7"/>
        <item x="8"/>
        <item x="9"/>
        <item t="default"/>
      </items>
    </pivotField>
    <pivotField axis="axisRow" showAll="0">
      <items count="7">
        <item x="3"/>
        <item x="2"/>
        <item x="4"/>
        <item x="5"/>
        <item x="1"/>
        <item x="0"/>
        <item t="default"/>
      </items>
    </pivotField>
    <pivotField showAll="0"/>
    <pivotField showAll="0">
      <items count="20">
        <item x="11"/>
        <item x="7"/>
        <item x="3"/>
        <item x="8"/>
        <item x="5"/>
        <item x="6"/>
        <item x="18"/>
        <item x="16"/>
        <item x="17"/>
        <item x="1"/>
        <item x="12"/>
        <item x="10"/>
        <item x="9"/>
        <item x="0"/>
        <item x="2"/>
        <item x="4"/>
        <item x="14"/>
        <item x="15"/>
        <item x="13"/>
        <item t="default"/>
      </items>
    </pivotField>
    <pivotField showAll="0"/>
    <pivotField showAll="0">
      <items count="26">
        <item x="0"/>
        <item x="9"/>
        <item x="10"/>
        <item x="15"/>
        <item x="16"/>
        <item x="18"/>
        <item x="4"/>
        <item x="6"/>
        <item x="3"/>
        <item x="23"/>
        <item x="17"/>
        <item x="13"/>
        <item x="22"/>
        <item x="24"/>
        <item x="20"/>
        <item x="14"/>
        <item x="12"/>
        <item x="19"/>
        <item x="21"/>
        <item x="11"/>
        <item x="2"/>
        <item x="8"/>
        <item x="1"/>
        <item x="7"/>
        <item x="5"/>
        <item t="default"/>
      </items>
    </pivotField>
    <pivotField axis="axisCol" dataField="1" showAll="0">
      <items count="3">
        <item x="1"/>
        <item x="0"/>
        <item t="default"/>
      </items>
    </pivotField>
    <pivotField showAll="0">
      <items count="4">
        <item x="0"/>
        <item x="1"/>
        <item x="2"/>
        <item t="default"/>
      </items>
    </pivotField>
    <pivotField numFmtId="164" showAll="0"/>
    <pivotField numFmtId="10" showAll="0"/>
    <pivotField numFmtId="164" showAll="0"/>
    <pivotField numFmtId="164" showAll="0"/>
    <pivotField showAll="0">
      <items count="3">
        <item x="0"/>
        <item x="1"/>
        <item t="default"/>
      </items>
    </pivotField>
    <pivotField showAll="0">
      <items count="5">
        <item x="2"/>
        <item x="0"/>
        <item x="1"/>
        <item x="3"/>
        <item t="default"/>
      </items>
    </pivotField>
    <pivotField showAll="0">
      <items count="4">
        <item x="0"/>
        <item x="2"/>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6">
    <i>
      <x/>
    </i>
    <i>
      <x v="1"/>
    </i>
    <i>
      <x v="2"/>
    </i>
    <i>
      <x v="3"/>
    </i>
    <i>
      <x v="4"/>
    </i>
    <i>
      <x v="5"/>
    </i>
  </rowItems>
  <colFields count="1">
    <field x="8"/>
  </colFields>
  <colItems count="2">
    <i>
      <x/>
    </i>
    <i>
      <x v="1"/>
    </i>
  </colItems>
  <dataFields count="1">
    <dataField name="Count of Type" fld="8" subtotal="count" baseField="0" baseItem="0"/>
  </dataFields>
  <chartFormats count="3">
    <chartFormat chart="3" format="5" series="1">
      <pivotArea type="data" outline="0" fieldPosition="0">
        <references count="2">
          <reference field="4294967294" count="1" selected="0">
            <x v="0"/>
          </reference>
          <reference field="8" count="1" selected="0">
            <x v="0"/>
          </reference>
        </references>
      </pivotArea>
    </chartFormat>
    <chartFormat chart="3" format="6" series="1">
      <pivotArea type="data" outline="0" fieldPosition="0">
        <references count="2">
          <reference field="4294967294" count="1" selected="0">
            <x v="0"/>
          </reference>
          <reference field="8" count="1" selected="0">
            <x v="1"/>
          </reference>
        </references>
      </pivotArea>
    </chartFormat>
    <chartFormat chart="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9E876E-D9E2-4658-9D6D-74ED91F2BC5D}"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D10" firstHeaderRow="1" firstDataRow="2" firstDataCol="1"/>
  <pivotFields count="19">
    <pivotField showAll="0"/>
    <pivotField numFmtId="165"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11">
        <item x="0"/>
        <item x="1"/>
        <item x="2"/>
        <item x="3"/>
        <item x="4"/>
        <item x="5"/>
        <item x="6"/>
        <item x="7"/>
        <item x="8"/>
        <item x="9"/>
        <item t="default"/>
      </items>
    </pivotField>
    <pivotField axis="axisRow" showAll="0">
      <items count="7">
        <item x="3"/>
        <item x="2"/>
        <item x="4"/>
        <item x="5"/>
        <item x="1"/>
        <item x="0"/>
        <item t="default"/>
      </items>
    </pivotField>
    <pivotField showAll="0"/>
    <pivotField showAll="0">
      <items count="20">
        <item x="11"/>
        <item x="7"/>
        <item x="3"/>
        <item x="8"/>
        <item x="5"/>
        <item x="6"/>
        <item x="18"/>
        <item x="16"/>
        <item x="17"/>
        <item x="1"/>
        <item x="12"/>
        <item x="10"/>
        <item x="9"/>
        <item x="0"/>
        <item x="2"/>
        <item x="4"/>
        <item x="14"/>
        <item x="15"/>
        <item x="13"/>
        <item t="default"/>
      </items>
    </pivotField>
    <pivotField showAll="0"/>
    <pivotField showAll="0">
      <items count="26">
        <item x="0"/>
        <item x="9"/>
        <item x="10"/>
        <item x="15"/>
        <item x="16"/>
        <item x="18"/>
        <item x="4"/>
        <item x="6"/>
        <item x="3"/>
        <item x="23"/>
        <item x="17"/>
        <item x="13"/>
        <item x="22"/>
        <item x="24"/>
        <item x="20"/>
        <item x="14"/>
        <item x="12"/>
        <item x="19"/>
        <item x="21"/>
        <item x="11"/>
        <item x="2"/>
        <item x="8"/>
        <item x="1"/>
        <item x="7"/>
        <item x="5"/>
        <item t="default"/>
      </items>
    </pivotField>
    <pivotField showAll="0">
      <items count="3">
        <item x="1"/>
        <item x="0"/>
        <item t="default"/>
      </items>
    </pivotField>
    <pivotField axis="axisCol" dataField="1" showAll="0">
      <items count="4">
        <item x="0"/>
        <item x="1"/>
        <item x="2"/>
        <item t="default"/>
      </items>
    </pivotField>
    <pivotField numFmtId="164" showAll="0"/>
    <pivotField numFmtId="10" showAll="0"/>
    <pivotField numFmtId="164" showAll="0"/>
    <pivotField numFmtId="164" showAll="0"/>
    <pivotField showAll="0">
      <items count="3">
        <item x="0"/>
        <item x="1"/>
        <item t="default"/>
      </items>
    </pivotField>
    <pivotField showAll="0">
      <items count="5">
        <item x="2"/>
        <item x="0"/>
        <item x="1"/>
        <item x="3"/>
        <item t="default"/>
      </items>
    </pivotField>
    <pivotField showAll="0">
      <items count="4">
        <item x="0"/>
        <item x="2"/>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x v="5"/>
    </i>
  </rowItems>
  <colFields count="1">
    <field x="9"/>
  </colFields>
  <colItems count="3">
    <i>
      <x/>
    </i>
    <i>
      <x v="1"/>
    </i>
    <i>
      <x v="2"/>
    </i>
  </colItems>
  <dataFields count="1">
    <dataField name="Count of Payment Method" fld="9" subtotal="count" baseField="0" baseItem="0"/>
  </dataFields>
  <chartFormats count="4">
    <chartFormat chart="3" format="6" series="1">
      <pivotArea type="data" outline="0" fieldPosition="0">
        <references count="2">
          <reference field="4294967294" count="1" selected="0">
            <x v="0"/>
          </reference>
          <reference field="9" count="1" selected="0">
            <x v="0"/>
          </reference>
        </references>
      </pivotArea>
    </chartFormat>
    <chartFormat chart="3" format="7" series="1">
      <pivotArea type="data" outline="0" fieldPosition="0">
        <references count="2">
          <reference field="4294967294" count="1" selected="0">
            <x v="0"/>
          </reference>
          <reference field="9" count="1" selected="0">
            <x v="1"/>
          </reference>
        </references>
      </pivotArea>
    </chartFormat>
    <chartFormat chart="3" format="8" series="1">
      <pivotArea type="data" outline="0" fieldPosition="0">
        <references count="2">
          <reference field="4294967294" count="1" selected="0">
            <x v="0"/>
          </reference>
          <reference field="9" count="1" selected="0">
            <x v="2"/>
          </reference>
        </references>
      </pivotArea>
    </chartFormat>
    <chartFormat chart="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DD68F5-CB65-4E0A-94AE-0E8BA6B723FC}"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C10" firstHeaderRow="1" firstDataRow="2" firstDataCol="1"/>
  <pivotFields count="19">
    <pivotField showAll="0"/>
    <pivotField numFmtId="165"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11">
        <item x="0"/>
        <item x="1"/>
        <item x="2"/>
        <item x="3"/>
        <item x="4"/>
        <item x="5"/>
        <item x="6"/>
        <item x="7"/>
        <item x="8"/>
        <item x="9"/>
        <item t="default"/>
      </items>
    </pivotField>
    <pivotField axis="axisRow" showAll="0">
      <items count="7">
        <item x="3"/>
        <item x="2"/>
        <item x="4"/>
        <item x="5"/>
        <item x="1"/>
        <item x="0"/>
        <item t="default"/>
      </items>
    </pivotField>
    <pivotField showAll="0"/>
    <pivotField showAll="0">
      <items count="20">
        <item x="11"/>
        <item x="7"/>
        <item x="3"/>
        <item x="8"/>
        <item x="5"/>
        <item x="6"/>
        <item x="18"/>
        <item x="16"/>
        <item x="17"/>
        <item x="1"/>
        <item x="12"/>
        <item x="10"/>
        <item x="9"/>
        <item x="0"/>
        <item x="2"/>
        <item x="4"/>
        <item x="14"/>
        <item x="15"/>
        <item x="13"/>
        <item t="default"/>
      </items>
    </pivotField>
    <pivotField showAll="0"/>
    <pivotField showAll="0">
      <items count="26">
        <item x="0"/>
        <item x="9"/>
        <item x="10"/>
        <item x="15"/>
        <item x="16"/>
        <item x="18"/>
        <item x="4"/>
        <item x="6"/>
        <item x="3"/>
        <item x="23"/>
        <item x="17"/>
        <item x="13"/>
        <item x="22"/>
        <item x="24"/>
        <item x="20"/>
        <item x="14"/>
        <item x="12"/>
        <item x="19"/>
        <item x="21"/>
        <item x="11"/>
        <item x="2"/>
        <item x="8"/>
        <item x="1"/>
        <item x="7"/>
        <item x="5"/>
        <item t="default"/>
      </items>
    </pivotField>
    <pivotField showAll="0">
      <items count="3">
        <item x="1"/>
        <item x="0"/>
        <item t="default"/>
      </items>
    </pivotField>
    <pivotField showAll="0">
      <items count="4">
        <item x="0"/>
        <item x="1"/>
        <item x="2"/>
        <item t="default"/>
      </items>
    </pivotField>
    <pivotField numFmtId="164" showAll="0"/>
    <pivotField numFmtId="10" showAll="0"/>
    <pivotField numFmtId="164" showAll="0"/>
    <pivotField numFmtId="164" showAll="0"/>
    <pivotField axis="axisCol" dataField="1" showAll="0">
      <items count="3">
        <item x="0"/>
        <item x="1"/>
        <item t="default"/>
      </items>
    </pivotField>
    <pivotField showAll="0">
      <items count="5">
        <item x="2"/>
        <item x="0"/>
        <item x="1"/>
        <item x="3"/>
        <item t="default"/>
      </items>
    </pivotField>
    <pivotField showAll="0">
      <items count="4">
        <item x="0"/>
        <item x="2"/>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x v="5"/>
    </i>
  </rowItems>
  <colFields count="1">
    <field x="14"/>
  </colFields>
  <colItems count="2">
    <i>
      <x/>
    </i>
    <i>
      <x v="1"/>
    </i>
  </colItems>
  <dataFields count="1">
    <dataField name="Count of Status" fld="14" subtotal="count" baseField="0" baseItem="0"/>
  </dataFields>
  <chartFormats count="3">
    <chartFormat chart="3" format="4" series="1">
      <pivotArea type="data" outline="0" fieldPosition="0">
        <references count="2">
          <reference field="4294967294" count="1" selected="0">
            <x v="0"/>
          </reference>
          <reference field="14" count="1" selected="0">
            <x v="0"/>
          </reference>
        </references>
      </pivotArea>
    </chartFormat>
    <chartFormat chart="3" format="5" series="1">
      <pivotArea type="data" outline="0" fieldPosition="0">
        <references count="2">
          <reference field="4294967294" count="1" selected="0">
            <x v="0"/>
          </reference>
          <reference field="14" count="1" selected="0">
            <x v="1"/>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FCDF6E-BCF0-444B-B610-C8BB1A443BB8}"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28" firstHeaderRow="1" firstDataRow="1" firstDataCol="1"/>
  <pivotFields count="19">
    <pivotField showAll="0"/>
    <pivotField numFmtId="165"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11">
        <item x="0"/>
        <item x="1"/>
        <item x="2"/>
        <item x="3"/>
        <item x="4"/>
        <item x="5"/>
        <item x="6"/>
        <item x="7"/>
        <item x="8"/>
        <item x="9"/>
        <item t="default"/>
      </items>
    </pivotField>
    <pivotField showAll="0">
      <items count="7">
        <item x="3"/>
        <item x="2"/>
        <item x="4"/>
        <item x="5"/>
        <item x="1"/>
        <item x="0"/>
        <item t="default"/>
      </items>
    </pivotField>
    <pivotField showAll="0"/>
    <pivotField showAll="0">
      <items count="20">
        <item x="11"/>
        <item x="7"/>
        <item x="3"/>
        <item x="8"/>
        <item x="5"/>
        <item x="6"/>
        <item x="18"/>
        <item x="16"/>
        <item x="17"/>
        <item x="1"/>
        <item x="12"/>
        <item x="10"/>
        <item x="9"/>
        <item x="0"/>
        <item x="2"/>
        <item x="4"/>
        <item x="14"/>
        <item x="15"/>
        <item x="13"/>
        <item t="default"/>
      </items>
    </pivotField>
    <pivotField showAll="0"/>
    <pivotField axis="axisRow" dataField="1" showAll="0">
      <items count="26">
        <item x="0"/>
        <item x="9"/>
        <item x="10"/>
        <item x="15"/>
        <item x="16"/>
        <item x="18"/>
        <item x="4"/>
        <item x="6"/>
        <item x="3"/>
        <item x="23"/>
        <item x="17"/>
        <item x="13"/>
        <item x="22"/>
        <item x="24"/>
        <item x="20"/>
        <item x="14"/>
        <item x="12"/>
        <item x="19"/>
        <item x="21"/>
        <item x="11"/>
        <item x="2"/>
        <item x="8"/>
        <item x="1"/>
        <item x="7"/>
        <item x="5"/>
        <item t="default"/>
      </items>
    </pivotField>
    <pivotField showAll="0">
      <items count="3">
        <item x="1"/>
        <item x="0"/>
        <item t="default"/>
      </items>
    </pivotField>
    <pivotField showAll="0">
      <items count="4">
        <item x="0"/>
        <item x="1"/>
        <item x="2"/>
        <item t="default"/>
      </items>
    </pivotField>
    <pivotField numFmtId="164" showAll="0"/>
    <pivotField numFmtId="10" showAll="0"/>
    <pivotField numFmtId="164" showAll="0"/>
    <pivotField numFmtId="164" showAll="0"/>
    <pivotField showAll="0">
      <items count="3">
        <item x="0"/>
        <item x="1"/>
        <item t="default"/>
      </items>
    </pivotField>
    <pivotField showAll="0">
      <items count="5">
        <item x="2"/>
        <item x="0"/>
        <item x="1"/>
        <item x="3"/>
        <item t="default"/>
      </items>
    </pivotField>
    <pivotField showAll="0">
      <items count="4">
        <item x="0"/>
        <item x="2"/>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25">
    <i>
      <x/>
    </i>
    <i>
      <x v="1"/>
    </i>
    <i>
      <x v="2"/>
    </i>
    <i>
      <x v="3"/>
    </i>
    <i>
      <x v="4"/>
    </i>
    <i>
      <x v="5"/>
    </i>
    <i>
      <x v="6"/>
    </i>
    <i>
      <x v="7"/>
    </i>
    <i>
      <x v="8"/>
    </i>
    <i>
      <x v="9"/>
    </i>
    <i>
      <x v="10"/>
    </i>
    <i>
      <x v="11"/>
    </i>
    <i>
      <x v="12"/>
    </i>
    <i>
      <x v="13"/>
    </i>
    <i>
      <x v="14"/>
    </i>
    <i>
      <x v="15"/>
    </i>
    <i>
      <x v="16"/>
    </i>
    <i>
      <x v="17"/>
    </i>
    <i>
      <x v="18"/>
    </i>
    <i>
      <x v="19"/>
    </i>
    <i>
      <x v="20"/>
    </i>
    <i>
      <x v="21"/>
    </i>
    <i>
      <x v="22"/>
    </i>
    <i>
      <x v="23"/>
    </i>
    <i>
      <x v="24"/>
    </i>
  </rowItems>
  <colItems count="1">
    <i/>
  </colItems>
  <dataFields count="1">
    <dataField name="Count of Vendor/Client" fld="7" subtotal="count" baseField="0" baseItem="0"/>
  </dataFields>
  <chartFormats count="26">
    <chartFormat chart="5" format="24" series="1">
      <pivotArea type="data" outline="0" fieldPosition="0">
        <references count="1">
          <reference field="4294967294" count="1" selected="0">
            <x v="0"/>
          </reference>
        </references>
      </pivotArea>
    </chartFormat>
    <chartFormat chart="5" format="25">
      <pivotArea type="data" outline="0" fieldPosition="0">
        <references count="2">
          <reference field="4294967294" count="1" selected="0">
            <x v="0"/>
          </reference>
          <reference field="7" count="1" selected="0">
            <x v="0"/>
          </reference>
        </references>
      </pivotArea>
    </chartFormat>
    <chartFormat chart="5" format="26">
      <pivotArea type="data" outline="0" fieldPosition="0">
        <references count="2">
          <reference field="4294967294" count="1" selected="0">
            <x v="0"/>
          </reference>
          <reference field="7" count="1" selected="0">
            <x v="1"/>
          </reference>
        </references>
      </pivotArea>
    </chartFormat>
    <chartFormat chart="5" format="27">
      <pivotArea type="data" outline="0" fieldPosition="0">
        <references count="2">
          <reference field="4294967294" count="1" selected="0">
            <x v="0"/>
          </reference>
          <reference field="7" count="1" selected="0">
            <x v="2"/>
          </reference>
        </references>
      </pivotArea>
    </chartFormat>
    <chartFormat chart="5" format="28">
      <pivotArea type="data" outline="0" fieldPosition="0">
        <references count="2">
          <reference field="4294967294" count="1" selected="0">
            <x v="0"/>
          </reference>
          <reference field="7" count="1" selected="0">
            <x v="3"/>
          </reference>
        </references>
      </pivotArea>
    </chartFormat>
    <chartFormat chart="5" format="29">
      <pivotArea type="data" outline="0" fieldPosition="0">
        <references count="2">
          <reference field="4294967294" count="1" selected="0">
            <x v="0"/>
          </reference>
          <reference field="7" count="1" selected="0">
            <x v="4"/>
          </reference>
        </references>
      </pivotArea>
    </chartFormat>
    <chartFormat chart="5" format="30">
      <pivotArea type="data" outline="0" fieldPosition="0">
        <references count="2">
          <reference field="4294967294" count="1" selected="0">
            <x v="0"/>
          </reference>
          <reference field="7" count="1" selected="0">
            <x v="5"/>
          </reference>
        </references>
      </pivotArea>
    </chartFormat>
    <chartFormat chart="5" format="31">
      <pivotArea type="data" outline="0" fieldPosition="0">
        <references count="2">
          <reference field="4294967294" count="1" selected="0">
            <x v="0"/>
          </reference>
          <reference field="7" count="1" selected="0">
            <x v="7"/>
          </reference>
        </references>
      </pivotArea>
    </chartFormat>
    <chartFormat chart="5" format="32">
      <pivotArea type="data" outline="0" fieldPosition="0">
        <references count="2">
          <reference field="4294967294" count="1" selected="0">
            <x v="0"/>
          </reference>
          <reference field="7" count="1" selected="0">
            <x v="8"/>
          </reference>
        </references>
      </pivotArea>
    </chartFormat>
    <chartFormat chart="5" format="33">
      <pivotArea type="data" outline="0" fieldPosition="0">
        <references count="2">
          <reference field="4294967294" count="1" selected="0">
            <x v="0"/>
          </reference>
          <reference field="7" count="1" selected="0">
            <x v="9"/>
          </reference>
        </references>
      </pivotArea>
    </chartFormat>
    <chartFormat chart="5" format="34">
      <pivotArea type="data" outline="0" fieldPosition="0">
        <references count="2">
          <reference field="4294967294" count="1" selected="0">
            <x v="0"/>
          </reference>
          <reference field="7" count="1" selected="0">
            <x v="10"/>
          </reference>
        </references>
      </pivotArea>
    </chartFormat>
    <chartFormat chart="5" format="35">
      <pivotArea type="data" outline="0" fieldPosition="0">
        <references count="2">
          <reference field="4294967294" count="1" selected="0">
            <x v="0"/>
          </reference>
          <reference field="7" count="1" selected="0">
            <x v="11"/>
          </reference>
        </references>
      </pivotArea>
    </chartFormat>
    <chartFormat chart="5" format="36">
      <pivotArea type="data" outline="0" fieldPosition="0">
        <references count="2">
          <reference field="4294967294" count="1" selected="0">
            <x v="0"/>
          </reference>
          <reference field="7" count="1" selected="0">
            <x v="12"/>
          </reference>
        </references>
      </pivotArea>
    </chartFormat>
    <chartFormat chart="5" format="37">
      <pivotArea type="data" outline="0" fieldPosition="0">
        <references count="2">
          <reference field="4294967294" count="1" selected="0">
            <x v="0"/>
          </reference>
          <reference field="7" count="1" selected="0">
            <x v="13"/>
          </reference>
        </references>
      </pivotArea>
    </chartFormat>
    <chartFormat chart="5" format="38">
      <pivotArea type="data" outline="0" fieldPosition="0">
        <references count="2">
          <reference field="4294967294" count="1" selected="0">
            <x v="0"/>
          </reference>
          <reference field="7" count="1" selected="0">
            <x v="14"/>
          </reference>
        </references>
      </pivotArea>
    </chartFormat>
    <chartFormat chart="5" format="39">
      <pivotArea type="data" outline="0" fieldPosition="0">
        <references count="2">
          <reference field="4294967294" count="1" selected="0">
            <x v="0"/>
          </reference>
          <reference field="7" count="1" selected="0">
            <x v="15"/>
          </reference>
        </references>
      </pivotArea>
    </chartFormat>
    <chartFormat chart="5" format="40">
      <pivotArea type="data" outline="0" fieldPosition="0">
        <references count="2">
          <reference field="4294967294" count="1" selected="0">
            <x v="0"/>
          </reference>
          <reference field="7" count="1" selected="0">
            <x v="17"/>
          </reference>
        </references>
      </pivotArea>
    </chartFormat>
    <chartFormat chart="5" format="41">
      <pivotArea type="data" outline="0" fieldPosition="0">
        <references count="2">
          <reference field="4294967294" count="1" selected="0">
            <x v="0"/>
          </reference>
          <reference field="7" count="1" selected="0">
            <x v="18"/>
          </reference>
        </references>
      </pivotArea>
    </chartFormat>
    <chartFormat chart="5" format="42">
      <pivotArea type="data" outline="0" fieldPosition="0">
        <references count="2">
          <reference field="4294967294" count="1" selected="0">
            <x v="0"/>
          </reference>
          <reference field="7" count="1" selected="0">
            <x v="19"/>
          </reference>
        </references>
      </pivotArea>
    </chartFormat>
    <chartFormat chart="5" format="43">
      <pivotArea type="data" outline="0" fieldPosition="0">
        <references count="2">
          <reference field="4294967294" count="1" selected="0">
            <x v="0"/>
          </reference>
          <reference field="7" count="1" selected="0">
            <x v="20"/>
          </reference>
        </references>
      </pivotArea>
    </chartFormat>
    <chartFormat chart="5" format="44">
      <pivotArea type="data" outline="0" fieldPosition="0">
        <references count="2">
          <reference field="4294967294" count="1" selected="0">
            <x v="0"/>
          </reference>
          <reference field="7" count="1" selected="0">
            <x v="22"/>
          </reference>
        </references>
      </pivotArea>
    </chartFormat>
    <chartFormat chart="5" format="45">
      <pivotArea type="data" outline="0" fieldPosition="0">
        <references count="2">
          <reference field="4294967294" count="1" selected="0">
            <x v="0"/>
          </reference>
          <reference field="7" count="1" selected="0">
            <x v="23"/>
          </reference>
        </references>
      </pivotArea>
    </chartFormat>
    <chartFormat chart="5" format="46">
      <pivotArea type="data" outline="0" fieldPosition="0">
        <references count="2">
          <reference field="4294967294" count="1" selected="0">
            <x v="0"/>
          </reference>
          <reference field="7" count="1" selected="0">
            <x v="24"/>
          </reference>
        </references>
      </pivotArea>
    </chartFormat>
    <chartFormat chart="5" format="47">
      <pivotArea type="data" outline="0" fieldPosition="0">
        <references count="2">
          <reference field="4294967294" count="1" selected="0">
            <x v="0"/>
          </reference>
          <reference field="7" count="1" selected="0">
            <x v="6"/>
          </reference>
        </references>
      </pivotArea>
    </chartFormat>
    <chartFormat chart="5" format="48">
      <pivotArea type="data" outline="0" fieldPosition="0">
        <references count="2">
          <reference field="4294967294" count="1" selected="0">
            <x v="0"/>
          </reference>
          <reference field="7" count="1" selected="0">
            <x v="16"/>
          </reference>
        </references>
      </pivotArea>
    </chartFormat>
    <chartFormat chart="5" format="49">
      <pivotArea type="data" outline="0" fieldPosition="0">
        <references count="2">
          <reference field="4294967294" count="1" selected="0">
            <x v="0"/>
          </reference>
          <reference field="7" count="1" selected="0">
            <x v="2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5C660C-9DC7-4113-B805-0298608BA8C2}"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3:B9" firstHeaderRow="1" firstDataRow="1" firstDataCol="1"/>
  <pivotFields count="19">
    <pivotField showAll="0"/>
    <pivotField numFmtId="165"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11">
        <item x="0"/>
        <item x="1"/>
        <item x="2"/>
        <item x="3"/>
        <item x="4"/>
        <item x="5"/>
        <item x="6"/>
        <item x="7"/>
        <item x="8"/>
        <item x="9"/>
        <item t="default"/>
      </items>
    </pivotField>
    <pivotField axis="axisRow" showAll="0">
      <items count="7">
        <item x="3"/>
        <item x="2"/>
        <item x="4"/>
        <item x="5"/>
        <item x="1"/>
        <item x="0"/>
        <item t="default"/>
      </items>
    </pivotField>
    <pivotField showAll="0"/>
    <pivotField showAll="0">
      <items count="20">
        <item x="11"/>
        <item x="7"/>
        <item x="3"/>
        <item x="8"/>
        <item x="5"/>
        <item x="6"/>
        <item x="18"/>
        <item x="16"/>
        <item x="17"/>
        <item x="1"/>
        <item x="12"/>
        <item x="10"/>
        <item x="9"/>
        <item x="0"/>
        <item x="2"/>
        <item x="4"/>
        <item x="14"/>
        <item x="15"/>
        <item x="13"/>
        <item t="default"/>
      </items>
    </pivotField>
    <pivotField showAll="0"/>
    <pivotField showAll="0">
      <items count="26">
        <item x="0"/>
        <item x="9"/>
        <item x="10"/>
        <item x="15"/>
        <item x="16"/>
        <item x="18"/>
        <item x="4"/>
        <item x="6"/>
        <item x="3"/>
        <item x="23"/>
        <item x="17"/>
        <item x="13"/>
        <item x="22"/>
        <item x="24"/>
        <item x="20"/>
        <item x="14"/>
        <item x="12"/>
        <item x="19"/>
        <item x="21"/>
        <item x="11"/>
        <item x="2"/>
        <item x="8"/>
        <item x="1"/>
        <item x="7"/>
        <item x="5"/>
        <item t="default"/>
      </items>
    </pivotField>
    <pivotField showAll="0">
      <items count="3">
        <item x="1"/>
        <item x="0"/>
        <item t="default"/>
      </items>
    </pivotField>
    <pivotField showAll="0">
      <items count="4">
        <item x="0"/>
        <item x="1"/>
        <item x="2"/>
        <item t="default"/>
      </items>
    </pivotField>
    <pivotField numFmtId="164" showAll="0"/>
    <pivotField numFmtId="10" showAll="0"/>
    <pivotField numFmtId="164" showAll="0"/>
    <pivotField dataField="1" numFmtId="164" showAll="0"/>
    <pivotField showAll="0">
      <items count="3">
        <item x="0"/>
        <item x="1"/>
        <item t="default"/>
      </items>
    </pivotField>
    <pivotField showAll="0">
      <items count="5">
        <item x="2"/>
        <item x="0"/>
        <item x="1"/>
        <item x="3"/>
        <item t="default"/>
      </items>
    </pivotField>
    <pivotField showAll="0">
      <items count="4">
        <item x="0"/>
        <item x="2"/>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x v="5"/>
    </i>
  </rowItems>
  <colItems count="1">
    <i/>
  </colItems>
  <dataFields count="1">
    <dataField name="Sum of Net Amount" fld="13" baseField="0" baseItem="0" numFmtId="164"/>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E60C96-96E2-4EB1-BA1C-1C2375EEAAA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8" firstHeaderRow="1" firstDataRow="1" firstDataCol="1"/>
  <pivotFields count="19">
    <pivotField showAll="0"/>
    <pivotField numFmtId="165"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11">
        <item x="0"/>
        <item x="1"/>
        <item x="2"/>
        <item x="3"/>
        <item x="4"/>
        <item x="5"/>
        <item x="6"/>
        <item x="7"/>
        <item x="8"/>
        <item x="9"/>
        <item t="default"/>
      </items>
    </pivotField>
    <pivotField axis="axisRow" showAll="0">
      <items count="7">
        <item x="3"/>
        <item x="2"/>
        <item x="4"/>
        <item x="5"/>
        <item x="1"/>
        <item x="0"/>
        <item t="default"/>
      </items>
    </pivotField>
    <pivotField showAll="0"/>
    <pivotField showAll="0">
      <items count="20">
        <item x="11"/>
        <item x="7"/>
        <item x="3"/>
        <item x="8"/>
        <item x="5"/>
        <item x="6"/>
        <item x="18"/>
        <item x="16"/>
        <item x="17"/>
        <item x="1"/>
        <item x="12"/>
        <item x="10"/>
        <item x="9"/>
        <item x="0"/>
        <item x="2"/>
        <item x="4"/>
        <item x="14"/>
        <item x="15"/>
        <item x="13"/>
        <item t="default"/>
      </items>
    </pivotField>
    <pivotField showAll="0"/>
    <pivotField showAll="0">
      <items count="26">
        <item x="0"/>
        <item x="9"/>
        <item x="10"/>
        <item x="15"/>
        <item x="16"/>
        <item x="18"/>
        <item x="4"/>
        <item x="6"/>
        <item x="3"/>
        <item x="23"/>
        <item x="17"/>
        <item x="13"/>
        <item x="22"/>
        <item x="24"/>
        <item x="20"/>
        <item x="14"/>
        <item x="12"/>
        <item x="19"/>
        <item x="21"/>
        <item x="11"/>
        <item x="2"/>
        <item x="8"/>
        <item x="1"/>
        <item x="7"/>
        <item x="5"/>
        <item t="default"/>
      </items>
    </pivotField>
    <pivotField showAll="0">
      <items count="3">
        <item x="1"/>
        <item x="0"/>
        <item t="default"/>
      </items>
    </pivotField>
    <pivotField showAll="0">
      <items count="4">
        <item x="0"/>
        <item x="1"/>
        <item x="2"/>
        <item t="default"/>
      </items>
    </pivotField>
    <pivotField numFmtId="164" showAll="0"/>
    <pivotField numFmtId="10" showAll="0"/>
    <pivotField numFmtId="164" showAll="0"/>
    <pivotField numFmtId="164" showAll="0"/>
    <pivotField showAll="0">
      <items count="3">
        <item x="0"/>
        <item x="1"/>
        <item t="default"/>
      </items>
    </pivotField>
    <pivotField axis="axisRow" dataField="1" showAll="0">
      <items count="5">
        <item x="2"/>
        <item x="0"/>
        <item x="1"/>
        <item x="3"/>
        <item t="default"/>
      </items>
    </pivotField>
    <pivotField showAll="0">
      <items count="4">
        <item x="0"/>
        <item x="2"/>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2">
    <field x="3"/>
    <field x="15"/>
  </rowFields>
  <rowItems count="25">
    <i>
      <x/>
    </i>
    <i r="1">
      <x/>
    </i>
    <i r="1">
      <x v="2"/>
    </i>
    <i>
      <x v="1"/>
    </i>
    <i r="1">
      <x v="1"/>
    </i>
    <i r="1">
      <x v="2"/>
    </i>
    <i r="1">
      <x v="3"/>
    </i>
    <i>
      <x v="2"/>
    </i>
    <i r="1">
      <x/>
    </i>
    <i r="1">
      <x v="2"/>
    </i>
    <i r="1">
      <x v="3"/>
    </i>
    <i>
      <x v="3"/>
    </i>
    <i r="1">
      <x/>
    </i>
    <i r="1">
      <x v="2"/>
    </i>
    <i r="1">
      <x v="3"/>
    </i>
    <i>
      <x v="4"/>
    </i>
    <i r="1">
      <x/>
    </i>
    <i r="1">
      <x v="1"/>
    </i>
    <i r="1">
      <x v="2"/>
    </i>
    <i r="1">
      <x v="3"/>
    </i>
    <i>
      <x v="5"/>
    </i>
    <i r="1">
      <x v="1"/>
    </i>
    <i r="1">
      <x v="2"/>
    </i>
    <i r="1">
      <x v="3"/>
    </i>
    <i t="grand">
      <x/>
    </i>
  </rowItems>
  <colItems count="1">
    <i/>
  </colItems>
  <dataFields count="1">
    <dataField name="Count of Region" fld="15"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D43FFF5-A9BB-40A8-9AC6-FD969704C45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9">
    <pivotField showAll="0"/>
    <pivotField numFmtId="165"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11">
        <item x="0"/>
        <item x="1"/>
        <item x="2"/>
        <item x="3"/>
        <item x="4"/>
        <item x="5"/>
        <item x="6"/>
        <item x="7"/>
        <item x="8"/>
        <item x="9"/>
        <item t="default"/>
      </items>
    </pivotField>
    <pivotField axis="axisRow" showAll="0">
      <items count="7">
        <item x="3"/>
        <item x="2"/>
        <item x="4"/>
        <item x="5"/>
        <item x="1"/>
        <item x="0"/>
        <item t="default"/>
      </items>
    </pivotField>
    <pivotField showAll="0"/>
    <pivotField showAll="0">
      <items count="20">
        <item x="11"/>
        <item x="7"/>
        <item x="3"/>
        <item x="8"/>
        <item x="5"/>
        <item x="6"/>
        <item x="18"/>
        <item x="16"/>
        <item x="17"/>
        <item x="1"/>
        <item x="12"/>
        <item x="10"/>
        <item x="9"/>
        <item x="0"/>
        <item x="2"/>
        <item x="4"/>
        <item x="14"/>
        <item x="15"/>
        <item x="13"/>
        <item t="default"/>
      </items>
    </pivotField>
    <pivotField showAll="0"/>
    <pivotField showAll="0">
      <items count="26">
        <item x="0"/>
        <item x="9"/>
        <item x="10"/>
        <item x="15"/>
        <item x="16"/>
        <item x="18"/>
        <item x="4"/>
        <item x="6"/>
        <item x="3"/>
        <item x="23"/>
        <item x="17"/>
        <item x="13"/>
        <item x="22"/>
        <item x="24"/>
        <item x="20"/>
        <item x="14"/>
        <item x="12"/>
        <item x="19"/>
        <item x="21"/>
        <item x="11"/>
        <item x="2"/>
        <item x="8"/>
        <item x="1"/>
        <item x="7"/>
        <item x="5"/>
        <item t="default"/>
      </items>
    </pivotField>
    <pivotField showAll="0">
      <items count="3">
        <item x="1"/>
        <item x="0"/>
        <item t="default"/>
      </items>
    </pivotField>
    <pivotField showAll="0">
      <items count="4">
        <item x="0"/>
        <item x="1"/>
        <item x="2"/>
        <item t="default"/>
      </items>
    </pivotField>
    <pivotField numFmtId="164" showAll="0"/>
    <pivotField numFmtId="10" showAll="0"/>
    <pivotField dataField="1" numFmtId="164" showAll="0">
      <items count="184">
        <item x="20"/>
        <item x="27"/>
        <item x="137"/>
        <item x="128"/>
        <item x="113"/>
        <item x="164"/>
        <item x="71"/>
        <item x="57"/>
        <item x="41"/>
        <item x="161"/>
        <item x="68"/>
        <item x="151"/>
        <item x="36"/>
        <item x="22"/>
        <item x="134"/>
        <item x="123"/>
        <item x="108"/>
        <item x="95"/>
        <item x="175"/>
        <item x="97"/>
        <item x="83"/>
        <item x="158"/>
        <item x="55"/>
        <item x="38"/>
        <item x="167"/>
        <item x="24"/>
        <item x="76"/>
        <item x="61"/>
        <item x="125"/>
        <item x="150"/>
        <item x="31"/>
        <item x="34"/>
        <item x="131"/>
        <item x="19"/>
        <item x="118"/>
        <item x="2"/>
        <item x="121"/>
        <item x="106"/>
        <item x="93"/>
        <item x="79"/>
        <item x="156"/>
        <item x="50"/>
        <item x="74"/>
        <item x="59"/>
        <item x="44"/>
        <item x="144"/>
        <item x="133"/>
        <item x="13"/>
        <item x="119"/>
        <item x="129"/>
        <item x="90"/>
        <item x="172"/>
        <item x="116"/>
        <item x="75"/>
        <item x="171"/>
        <item x="91"/>
        <item x="180"/>
        <item x="155"/>
        <item x="166"/>
        <item x="103"/>
        <item x="45"/>
        <item x="63"/>
        <item x="30"/>
        <item x="48"/>
        <item x="9"/>
        <item x="138"/>
        <item x="159"/>
        <item x="33"/>
        <item x="62"/>
        <item x="182"/>
        <item x="17"/>
        <item x="179"/>
        <item x="112"/>
        <item x="102"/>
        <item x="51"/>
        <item x="32"/>
        <item x="99"/>
        <item x="16"/>
        <item x="35"/>
        <item x="85"/>
        <item x="132"/>
        <item x="140"/>
        <item x="149"/>
        <item x="3"/>
        <item x="153"/>
        <item x="143"/>
        <item x="40"/>
        <item x="122"/>
        <item x="11"/>
        <item x="26"/>
        <item x="107"/>
        <item x="67"/>
        <item x="169"/>
        <item x="177"/>
        <item x="80"/>
        <item x="43"/>
        <item x="100"/>
        <item x="66"/>
        <item x="28"/>
        <item x="87"/>
        <item x="12"/>
        <item x="18"/>
        <item x="72"/>
        <item x="4"/>
        <item x="1"/>
        <item x="115"/>
        <item x="120"/>
        <item x="101"/>
        <item x="88"/>
        <item x="96"/>
        <item x="92"/>
        <item x="81"/>
        <item x="162"/>
        <item x="78"/>
        <item x="82"/>
        <item x="69"/>
        <item x="64"/>
        <item x="10"/>
        <item x="49"/>
        <item x="54"/>
        <item x="181"/>
        <item x="146"/>
        <item x="148"/>
        <item x="152"/>
        <item x="23"/>
        <item x="114"/>
        <item x="6"/>
        <item x="47"/>
        <item x="124"/>
        <item x="39"/>
        <item x="174"/>
        <item x="165"/>
        <item x="157"/>
        <item x="89"/>
        <item x="127"/>
        <item x="60"/>
        <item x="173"/>
        <item x="46"/>
        <item x="145"/>
        <item x="94"/>
        <item x="25"/>
        <item x="126"/>
        <item x="136"/>
        <item x="111"/>
        <item x="170"/>
        <item x="84"/>
        <item x="70"/>
        <item x="58"/>
        <item x="56"/>
        <item x="52"/>
        <item x="142"/>
        <item x="104"/>
        <item x="8"/>
        <item x="168"/>
        <item x="141"/>
        <item x="86"/>
        <item x="110"/>
        <item x="15"/>
        <item x="7"/>
        <item x="147"/>
        <item x="154"/>
        <item x="98"/>
        <item x="29"/>
        <item x="160"/>
        <item x="14"/>
        <item x="0"/>
        <item x="130"/>
        <item x="176"/>
        <item x="65"/>
        <item x="53"/>
        <item x="105"/>
        <item x="37"/>
        <item x="42"/>
        <item x="139"/>
        <item x="135"/>
        <item x="73"/>
        <item x="163"/>
        <item x="21"/>
        <item x="77"/>
        <item x="5"/>
        <item x="178"/>
        <item x="117"/>
        <item x="109"/>
        <item t="default"/>
      </items>
    </pivotField>
    <pivotField numFmtId="164" showAll="0"/>
    <pivotField showAll="0">
      <items count="3">
        <item x="0"/>
        <item x="1"/>
        <item t="default"/>
      </items>
    </pivotField>
    <pivotField showAll="0">
      <items count="5">
        <item x="2"/>
        <item x="0"/>
        <item x="1"/>
        <item x="3"/>
        <item t="default"/>
      </items>
    </pivotField>
    <pivotField showAll="0">
      <items count="4">
        <item x="0"/>
        <item x="2"/>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7">
    <i>
      <x/>
    </i>
    <i>
      <x v="1"/>
    </i>
    <i>
      <x v="2"/>
    </i>
    <i>
      <x v="3"/>
    </i>
    <i>
      <x v="4"/>
    </i>
    <i>
      <x v="5"/>
    </i>
    <i t="grand">
      <x/>
    </i>
  </rowItems>
  <colItems count="1">
    <i/>
  </colItems>
  <dataFields count="1">
    <dataField name="Sum of Tax Amount" fld="12" baseField="0" baseItem="0" numFmtId="164"/>
  </dataFields>
  <chartFormats count="6">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3" count="1" selected="0">
            <x v="0"/>
          </reference>
        </references>
      </pivotArea>
    </chartFormat>
    <chartFormat chart="5" format="15">
      <pivotArea type="data" outline="0" fieldPosition="0">
        <references count="2">
          <reference field="4294967294" count="1" selected="0">
            <x v="0"/>
          </reference>
          <reference field="3" count="1" selected="0">
            <x v="1"/>
          </reference>
        </references>
      </pivotArea>
    </chartFormat>
    <chartFormat chart="5" format="16">
      <pivotArea type="data" outline="0" fieldPosition="0">
        <references count="2">
          <reference field="4294967294" count="1" selected="0">
            <x v="0"/>
          </reference>
          <reference field="3" count="1" selected="0">
            <x v="3"/>
          </reference>
        </references>
      </pivotArea>
    </chartFormat>
    <chartFormat chart="5" format="17">
      <pivotArea type="data" outline="0" fieldPosition="0">
        <references count="2">
          <reference field="4294967294" count="1" selected="0">
            <x v="0"/>
          </reference>
          <reference field="3" count="1" selected="0">
            <x v="4"/>
          </reference>
        </references>
      </pivotArea>
    </chartFormat>
    <chartFormat chart="5" format="18">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6A525B7-CE07-4421-9DAF-60934D8B91A5}"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3:B6" firstHeaderRow="1" firstDataRow="1" firstDataCol="1"/>
  <pivotFields count="19">
    <pivotField showAll="0"/>
    <pivotField numFmtId="165"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11">
        <item x="0"/>
        <item x="1"/>
        <item x="2"/>
        <item x="3"/>
        <item x="4"/>
        <item x="5"/>
        <item x="6"/>
        <item x="7"/>
        <item x="8"/>
        <item x="9"/>
        <item t="default"/>
      </items>
    </pivotField>
    <pivotField showAll="0">
      <items count="7">
        <item x="3"/>
        <item x="2"/>
        <item x="4"/>
        <item x="5"/>
        <item x="1"/>
        <item x="0"/>
        <item t="default"/>
      </items>
    </pivotField>
    <pivotField showAll="0"/>
    <pivotField showAll="0">
      <items count="20">
        <item x="11"/>
        <item x="7"/>
        <item x="3"/>
        <item x="8"/>
        <item x="5"/>
        <item x="6"/>
        <item x="18"/>
        <item x="16"/>
        <item x="17"/>
        <item x="1"/>
        <item x="12"/>
        <item x="10"/>
        <item x="9"/>
        <item x="0"/>
        <item x="2"/>
        <item x="4"/>
        <item x="14"/>
        <item x="15"/>
        <item x="13"/>
        <item t="default"/>
      </items>
    </pivotField>
    <pivotField showAll="0"/>
    <pivotField showAll="0">
      <items count="26">
        <item x="0"/>
        <item x="9"/>
        <item x="10"/>
        <item x="15"/>
        <item x="16"/>
        <item x="18"/>
        <item x="4"/>
        <item x="6"/>
        <item x="3"/>
        <item x="23"/>
        <item x="17"/>
        <item x="13"/>
        <item x="22"/>
        <item x="24"/>
        <item x="20"/>
        <item x="14"/>
        <item x="12"/>
        <item x="19"/>
        <item x="21"/>
        <item x="11"/>
        <item x="2"/>
        <item x="8"/>
        <item x="1"/>
        <item x="7"/>
        <item x="5"/>
        <item t="default"/>
      </items>
    </pivotField>
    <pivotField showAll="0">
      <items count="3">
        <item x="1"/>
        <item x="0"/>
        <item t="default"/>
      </items>
    </pivotField>
    <pivotField axis="axisRow" showAll="0">
      <items count="4">
        <item x="0"/>
        <item x="1"/>
        <item x="2"/>
        <item t="default"/>
      </items>
    </pivotField>
    <pivotField numFmtId="164" showAll="0"/>
    <pivotField numFmtId="10" showAll="0"/>
    <pivotField numFmtId="164" showAll="0"/>
    <pivotField dataField="1" numFmtId="164" showAll="0"/>
    <pivotField showAll="0">
      <items count="3">
        <item x="0"/>
        <item x="1"/>
        <item t="default"/>
      </items>
    </pivotField>
    <pivotField showAll="0">
      <items count="5">
        <item x="2"/>
        <item x="0"/>
        <item x="1"/>
        <item x="3"/>
        <item t="default"/>
      </items>
    </pivotField>
    <pivotField showAll="0">
      <items count="4">
        <item x="0"/>
        <item x="2"/>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3">
    <i>
      <x/>
    </i>
    <i>
      <x v="1"/>
    </i>
    <i>
      <x v="2"/>
    </i>
  </rowItems>
  <colItems count="1">
    <i/>
  </colItems>
  <dataFields count="1">
    <dataField name="Sum of Net Amount" fld="13" baseField="0" baseItem="0" numFmtId="164"/>
  </dataFields>
  <chartFormats count="4">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9" count="1" selected="0">
            <x v="0"/>
          </reference>
        </references>
      </pivotArea>
    </chartFormat>
    <chartFormat chart="5" format="10">
      <pivotArea type="data" outline="0" fieldPosition="0">
        <references count="2">
          <reference field="4294967294" count="1" selected="0">
            <x v="0"/>
          </reference>
          <reference field="9" count="1" selected="0">
            <x v="1"/>
          </reference>
        </references>
      </pivotArea>
    </chartFormat>
    <chartFormat chart="5"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859D48E-710B-4485-B0A5-4FA337678889}" sourceName="Department">
  <pivotTables>
    <pivotTable tabId="5" name="PivotTable2"/>
    <pivotTable tabId="10" name="PivotTable1"/>
    <pivotTable tabId="6" name="PivotTable4"/>
    <pivotTable tabId="7" name="PivotTable5"/>
    <pivotTable tabId="8" name="PivotTable6"/>
    <pivotTable tabId="11" name="PivotTable2"/>
    <pivotTable tabId="12" name="PivotTable3"/>
    <pivotTable tabId="5" name="PivotTable3"/>
    <pivotTable tabId="9" name="PivotTable7"/>
    <pivotTable tabId="13" name="PivotTable4"/>
  </pivotTables>
  <data>
    <tabular pivotCacheId="1098092539">
      <items count="6">
        <i x="3" s="1"/>
        <i x="2" s="1"/>
        <i x="4" s="1"/>
        <i x="5"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F84C88A-5367-47F2-868F-111787A33A3A}" sourceName="Month">
  <pivotTables>
    <pivotTable tabId="5" name="PivotTable2"/>
    <pivotTable tabId="10" name="PivotTable1"/>
    <pivotTable tabId="6" name="PivotTable4"/>
    <pivotTable tabId="7" name="PivotTable5"/>
    <pivotTable tabId="8" name="PivotTable6"/>
    <pivotTable tabId="11" name="PivotTable2"/>
    <pivotTable tabId="12" name="PivotTable3"/>
    <pivotTable tabId="5" name="PivotTable3"/>
    <pivotTable tabId="9" name="PivotTable7"/>
    <pivotTable tabId="13" name="PivotTable4"/>
  </pivotTables>
  <data>
    <tabular pivotCacheId="1098092539">
      <items count="10">
        <i x="0" s="1"/>
        <i x="1" s="1"/>
        <i x="2" s="1"/>
        <i x="3" s="1"/>
        <i x="4" s="1"/>
        <i x="5" s="1"/>
        <i x="6" s="1"/>
        <i x="7" s="1"/>
        <i x="8"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_Client" xr10:uid="{39441CAF-B1BB-495B-9884-A0B63DC2EE09}" sourceName="Vendor/Client">
  <pivotTables>
    <pivotTable tabId="6" name="PivotTable4"/>
    <pivotTable tabId="10" name="PivotTable1"/>
    <pivotTable tabId="7" name="PivotTable5"/>
    <pivotTable tabId="8" name="PivotTable6"/>
    <pivotTable tabId="11" name="PivotTable2"/>
    <pivotTable tabId="12" name="PivotTable3"/>
    <pivotTable tabId="5" name="PivotTable2"/>
    <pivotTable tabId="5" name="PivotTable3"/>
    <pivotTable tabId="9" name="PivotTable7"/>
    <pivotTable tabId="13" name="PivotTable4"/>
  </pivotTables>
  <data>
    <tabular pivotCacheId="1098092539">
      <items count="25">
        <i x="0" s="1"/>
        <i x="9" s="1"/>
        <i x="10" s="1"/>
        <i x="15" s="1"/>
        <i x="16" s="1"/>
        <i x="18" s="1"/>
        <i x="4" s="1"/>
        <i x="6" s="1"/>
        <i x="3" s="1"/>
        <i x="23" s="1"/>
        <i x="17" s="1"/>
        <i x="13" s="1"/>
        <i x="22" s="1"/>
        <i x="24" s="1"/>
        <i x="20" s="1"/>
        <i x="14" s="1"/>
        <i x="12" s="1"/>
        <i x="19" s="1"/>
        <i x="21" s="1"/>
        <i x="11" s="1"/>
        <i x="2" s="1"/>
        <i x="8" s="1"/>
        <i x="1" s="1"/>
        <i x="7"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3CF953C-D3F4-43DD-B878-69E8B0A5E5F4}" sourceName="Category">
  <pivotTables>
    <pivotTable tabId="6" name="PivotTable4"/>
    <pivotTable tabId="10" name="PivotTable1"/>
    <pivotTable tabId="7" name="PivotTable5"/>
    <pivotTable tabId="8" name="PivotTable6"/>
    <pivotTable tabId="11" name="PivotTable2"/>
    <pivotTable tabId="12" name="PivotTable3"/>
    <pivotTable tabId="5" name="PivotTable2"/>
    <pivotTable tabId="5" name="PivotTable3"/>
    <pivotTable tabId="9" name="PivotTable7"/>
    <pivotTable tabId="13" name="PivotTable4"/>
  </pivotTables>
  <data>
    <tabular pivotCacheId="1098092539">
      <items count="19">
        <i x="11" s="1"/>
        <i x="7" s="1"/>
        <i x="3" s="1"/>
        <i x="8" s="1"/>
        <i x="5" s="1"/>
        <i x="6" s="1"/>
        <i x="18" s="1"/>
        <i x="16" s="1"/>
        <i x="17" s="1"/>
        <i x="1" s="1"/>
        <i x="12" s="1"/>
        <i x="10" s="1"/>
        <i x="9" s="1"/>
        <i x="0" s="1"/>
        <i x="2" s="1"/>
        <i x="4" s="1"/>
        <i x="14" s="1"/>
        <i x="15" s="1"/>
        <i x="1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761701AA-7901-430A-A8D8-2E7E59F564B6}" sourceName="Priority">
  <pivotTables>
    <pivotTable tabId="6" name="PivotTable4"/>
    <pivotTable tabId="10" name="PivotTable1"/>
    <pivotTable tabId="7" name="PivotTable5"/>
    <pivotTable tabId="8" name="PivotTable6"/>
    <pivotTable tabId="11" name="PivotTable2"/>
    <pivotTable tabId="12" name="PivotTable3"/>
    <pivotTable tabId="5" name="PivotTable2"/>
    <pivotTable tabId="5" name="PivotTable3"/>
    <pivotTable tabId="9" name="PivotTable7"/>
    <pivotTable tabId="13" name="PivotTable4"/>
  </pivotTables>
  <data>
    <tabular pivotCacheId="1098092539">
      <items count="3">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DFD7FEB5-394A-40F0-B42A-9FA6446AB9A4}" sourceName="Payment Method">
  <pivotTables>
    <pivotTable tabId="6" name="PivotTable4"/>
    <pivotTable tabId="10" name="PivotTable1"/>
    <pivotTable tabId="7" name="PivotTable5"/>
    <pivotTable tabId="8" name="PivotTable6"/>
    <pivotTable tabId="11" name="PivotTable2"/>
    <pivotTable tabId="12" name="PivotTable3"/>
    <pivotTable tabId="5" name="PivotTable2"/>
    <pivotTable tabId="5" name="PivotTable3"/>
    <pivotTable tabId="9" name="PivotTable7"/>
    <pivotTable tabId="13" name="PivotTable4"/>
  </pivotTables>
  <data>
    <tabular pivotCacheId="1098092539">
      <items count="3">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1ECA979E-11BA-4634-B0D0-A76BB5334700}" sourceName="Type">
  <pivotTables>
    <pivotTable tabId="6" name="PivotTable4"/>
    <pivotTable tabId="10" name="PivotTable1"/>
    <pivotTable tabId="7" name="PivotTable5"/>
    <pivotTable tabId="8" name="PivotTable6"/>
    <pivotTable tabId="11" name="PivotTable2"/>
    <pivotTable tabId="12" name="PivotTable3"/>
    <pivotTable tabId="5" name="PivotTable2"/>
    <pivotTable tabId="5" name="PivotTable3"/>
    <pivotTable tabId="9" name="PivotTable7"/>
    <pivotTable tabId="13" name="PivotTable4"/>
  </pivotTables>
  <data>
    <tabular pivotCacheId="1098092539">
      <items count="2">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FF3E4C4-FD1F-4360-A4EC-F5A5A7D3CEB7}" sourceName="Region">
  <pivotTables>
    <pivotTable tabId="6" name="PivotTable4"/>
    <pivotTable tabId="10" name="PivotTable1"/>
    <pivotTable tabId="7" name="PivotTable5"/>
    <pivotTable tabId="8" name="PivotTable6"/>
    <pivotTable tabId="11" name="PivotTable2"/>
    <pivotTable tabId="12" name="PivotTable3"/>
    <pivotTable tabId="5" name="PivotTable2"/>
    <pivotTable tabId="5" name="PivotTable3"/>
    <pivotTable tabId="9" name="PivotTable7"/>
    <pivotTable tabId="13" name="PivotTable4"/>
  </pivotTables>
  <data>
    <tabular pivotCacheId="1098092539">
      <items count="4">
        <i x="2" s="1"/>
        <i x="0" s="1"/>
        <i x="1" s="1"/>
        <i x="3"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A48026D8-4D4A-4667-8AB1-DB59678D7523}" sourceName="Status">
  <pivotTables>
    <pivotTable tabId="6" name="PivotTable4"/>
    <pivotTable tabId="10" name="PivotTable1"/>
    <pivotTable tabId="7" name="PivotTable5"/>
    <pivotTable tabId="8" name="PivotTable6"/>
    <pivotTable tabId="11" name="PivotTable2"/>
    <pivotTable tabId="12" name="PivotTable3"/>
    <pivotTable tabId="5" name="PivotTable2"/>
    <pivotTable tabId="5" name="PivotTable3"/>
    <pivotTable tabId="9" name="PivotTable7"/>
    <pivotTable tabId="13" name="PivotTable4"/>
  </pivotTables>
  <data>
    <tabular pivotCacheId="109809253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46DB8C4-A4BE-43F5-AA1A-1FBFCED2AF54}" cache="Slicer_Department" caption="Department" rowHeight="241300"/>
  <slicer name="Month" xr10:uid="{AF4E0B8F-097D-4F34-A54A-0AEF1DB25D05}" cache="Slicer_Month" caption="Month" rowHeight="241300"/>
  <slicer name="Vendor/Client" xr10:uid="{A02EC2C8-AC65-4F0C-BB12-37BF2A3D3FFF}" cache="Slicer_Vendor_Client" caption="Vendor/Client" rowHeight="241300"/>
  <slicer name="Category" xr10:uid="{A6880D45-58A3-4646-A35B-53B52914B64A}" cache="Slicer_Category" caption="Category" columnCount="10" rowHeight="241300"/>
  <slicer name="Priority" xr10:uid="{46AC0C73-64E4-4125-9637-8ADAC7BFB62A}" cache="Slicer_Priority" caption="Priority" rowHeight="241300"/>
  <slicer name="Payment Method" xr10:uid="{CDFA76FB-4E55-4C68-BE7D-FE21ABE11848}" cache="Slicer_Payment_Method" caption="Payment Method" rowHeight="241300"/>
  <slicer name="Type" xr10:uid="{6EC9DD69-76BD-40C2-9FF3-93803B921302}" cache="Slicer_Type" caption="Type" rowHeight="241300"/>
  <slicer name="Region" xr10:uid="{978BC554-C060-4600-9313-4EECEDA65E9C}" cache="Slicer_Region" caption="Region" rowHeight="241300"/>
  <slicer name="Status" xr10:uid="{C108F283-0C5F-4E96-948E-ECF265B4A919}" cache="Slicer_Status" caption="Status"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C8FE0F-D8AA-4F4D-BFD7-CE9187D2E8A8}" name="Table1" displayName="Table1" ref="A1:Q301" totalsRowShown="0" headerRowDxfId="18" dataDxfId="17">
  <autoFilter ref="A1:Q301" xr:uid="{99C8FE0F-D8AA-4F4D-BFD7-CE9187D2E8A8}"/>
  <sortState xmlns:xlrd2="http://schemas.microsoft.com/office/spreadsheetml/2017/richdata2" ref="A2:Q301">
    <sortCondition ref="A1:A301"/>
  </sortState>
  <tableColumns count="17">
    <tableColumn id="1" xr3:uid="{B2ECDDBD-4C93-4A04-B90D-D289D40CD65F}" name="Txn ID" dataDxfId="16"/>
    <tableColumn id="2" xr3:uid="{FD4534C6-C96C-424E-A171-5AFE37C99538}" name="Date" dataDxfId="15"/>
    <tableColumn id="3" xr3:uid="{2CA8CE68-2492-4365-BB37-E7F79EE94DBF}" name="Month" dataDxfId="14"/>
    <tableColumn id="4" xr3:uid="{DC13D31C-F0BE-4B38-8494-A968DE21A117}" name="Department" dataDxfId="13"/>
    <tableColumn id="5" xr3:uid="{AC5A7D96-7FA7-4A8E-AC73-600EB12276D5}" name="Account" dataDxfId="12"/>
    <tableColumn id="6" xr3:uid="{C2641B42-A780-43CB-9F3A-4B6C5E1E6126}" name="Category" dataDxfId="11"/>
    <tableColumn id="7" xr3:uid="{AE0701B4-1F9B-4FDA-9A11-06AC44B1D907}" name="Description" dataDxfId="10"/>
    <tableColumn id="8" xr3:uid="{5CB02459-CFDD-42F9-B1C9-5CB3A3882538}" name="Vendor/Client" dataDxfId="9"/>
    <tableColumn id="9" xr3:uid="{56635A91-23AA-4960-98FA-87ED63AF8153}" name="Type" dataDxfId="8"/>
    <tableColumn id="10" xr3:uid="{CD052710-D335-40B2-8731-D4BCDD1A741A}" name="Payment Method" dataDxfId="7"/>
    <tableColumn id="11" xr3:uid="{45A3D12B-5DF0-4F6E-8330-2F6AEEA0A8D0}" name="Amount" dataDxfId="6"/>
    <tableColumn id="12" xr3:uid="{B6A017D4-6FB1-472E-BEF9-D75B8E82E8F0}" name="Tax %" dataDxfId="5"/>
    <tableColumn id="13" xr3:uid="{FF0245BC-E715-4BBE-B366-12D9DD1F3DC4}" name="Tax Amount" dataDxfId="4"/>
    <tableColumn id="14" xr3:uid="{6A02243F-A5F8-48C3-B9C0-2B2834A1D266}" name="Net Amount" dataDxfId="3"/>
    <tableColumn id="15" xr3:uid="{6FB0C5CF-234F-4286-ABF6-5B3B37573BB7}" name="Status" dataDxfId="2"/>
    <tableColumn id="16" xr3:uid="{BCB98E7D-411C-4CD4-BB33-D8A6B18975D7}" name="Region" dataDxfId="1"/>
    <tableColumn id="17" xr3:uid="{4E632859-4684-480F-B4A1-B9868E5F941A}" name="Priorit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S2" dT="2026-07-18T06:16:43.44" personId="{DB18A180-0565-44F9-A250-55A6FB4A4E2B}" id="{49505E2B-FA9B-4AE8-9063-91235267AF9A}">
    <text>1. Total Income aur Total Expense alag-alag nikaliye.</text>
  </threadedComment>
  <threadedComment ref="S3" dT="2026-07-18T06:16:43.46" personId="{DB18A180-0565-44F9-A250-55A6FB4A4E2B}" id="{CA51F48B-45C2-49D8-832D-81AEE324674A}">
    <text>2. Net cash impact kya hai? (Income - Expense, Amount basis par)</text>
  </threadedComment>
  <threadedComment ref="S4" dT="2026-07-18T06:16:43.46" personId="{DB18A180-0565-44F9-A250-55A6FB4A4E2B}" id="{68F25109-FEBD-4644-893C-E53E9E4B519C}">
    <text>3. Month-wise total revenue calculate kijiye.</text>
  </threadedComment>
  <threadedComment ref="S5" dT="2026-07-18T06:16:43.47" personId="{DB18A180-0565-44F9-A250-55A6FB4A4E2B}" id="{878A1733-9D05-40DF-89D8-29D677089DBF}">
    <text>4. Department-wise total expense nikaliye.</text>
  </threadedComment>
  <threadedComment ref="S6" dT="2026-07-18T06:16:43.47" personId="{DB18A180-0565-44F9-A250-55A6FB4A4E2B}" id="{8B4CDB8D-40F3-499F-81E4-3ECF5C5FD4AE}">
    <text>5. Sabse zyada expense kis category mein hua hai?</text>
  </threadedComment>
  <threadedComment ref="S7" dT="2026-07-18T06:16:43.47" personId="{DB18A180-0565-44F9-A250-55A6FB4A4E2B}" id="{CF29F873-55BF-4129-9339-0086E441746F}">
    <text>6. Pending transactions ka total Amount aur count nikaliye.</text>
  </threadedComment>
  <threadedComment ref="S8" dT="2026-07-18T06:16:43.48" personId="{DB18A180-0565-44F9-A250-55A6FB4A4E2B}" id="{C31EF3EE-B615-4604-830D-B1892E7444AE}">
    <text>7. Region-wise revenue vs expense summary banaiye.</text>
  </threadedComment>
  <threadedComment ref="S9" dT="2026-07-18T06:16:43.48" personId="{DB18A180-0565-44F9-A250-55A6FB4A4E2B}" id="{4374F1B2-9A0B-4239-805F-35A6F94C1861}">
    <text>8. Average transaction amount by payment method nikaliye.</text>
  </threadedComment>
  <threadedComment ref="S10" dT="2026-07-18T06:16:43.49" personId="{DB18A180-0565-44F9-A250-55A6FB4A4E2B}" id="{549BEDCD-440A-4111-B01D-AF5298970162}">
    <text>9. Top 5 highest expense transactions identify kijiye.</text>
  </threadedComment>
  <threadedComment ref="S11" dT="2026-07-18T06:16:43.49" personId="{DB18A180-0565-44F9-A250-55A6FB4A4E2B}" id="{3AA0EDB3-11DA-450C-B9F9-A1810FB3CDCD}">
    <text>10. Tax Amount ka grand total nikaliye.</text>
  </threadedComment>
  <threadedComment ref="S12" dT="2026-07-18T06:16:43.49" personId="{DB18A180-0565-44F9-A250-55A6FB4A4E2B}" id="{8A0A03C0-1020-4E8A-9EA9-6F6E54109564}">
    <text>11. High priority transactions ka total value kitna hai?</text>
  </threadedComment>
  <threadedComment ref="S13" dT="2026-07-18T06:16:43.50" personId="{DB18A180-0565-44F9-A250-55A6FB4A4E2B}" id="{102F06A3-AAD1-466D-9196-A7F47B508F6E}">
    <text>12. Kaunse vendors/clients ke saath sabse zyada transactions hue hain?</text>
  </threadedComment>
  <threadedComment ref="S14" dT="2026-07-18T06:16:43.50" personId="{DB18A180-0565-44F9-A250-55A6FB4A4E2B}" id="{9D0C39D8-CBD4-4BD4-9447-8534890E1624}">
    <text>13. Expense transactions me Credit Card spending kitni hui hai?</text>
  </threadedComment>
  <threadedComment ref="S15" dT="2026-07-18T06:16:43.50" personId="{DB18A180-0565-44F9-A250-55A6FB4A4E2B}" id="{7088CBC4-2972-4850-AD94-58B77F873454}">
    <text>14. Cleared vs Pending ka comparison chart banaiye.</text>
  </threadedComment>
  <threadedComment ref="S16" dT="2026-07-18T06:16:43.50" personId="{DB18A180-0565-44F9-A250-55A6FB4A4E2B}" id="{92E78318-72FC-452E-9C23-EB5A3307EBE7}">
    <text>15. Aisa pivot banaiye jisme rows me Department, columns me Month, values me Amount ka sum ho.</text>
  </threadedComment>
  <threadedComment ref="S17" dT="2026-07-18T06:16:43.51" personId="{DB18A180-0565-44F9-A250-55A6FB4A4E2B}" id="{21400C31-22F8-4F7C-853F-6133F876AEFA}">
    <text>16. Income transactions ka average tax percentage nikaliye.</text>
  </threadedComment>
  <threadedComment ref="S18" dT="2026-07-18T06:16:43.51" personId="{DB18A180-0565-44F9-A250-55A6FB4A4E2B}" id="{8EB3C2A2-AEF7-4079-9896-7A8BA48A4832}">
    <text>17. Net Amount ke hisaab se top 3 largest transactions kaunse hain?</text>
  </threadedComment>
  <threadedComment ref="S19" dT="2026-07-18T06:16:43.51" personId="{DB18A180-0565-44F9-A250-55A6FB4A4E2B}" id="{8189484A-A12A-48F1-9C11-E84B619E7BC3}">
    <text>18. March month me total expense aur total income compare kijiye.</text>
  </threadedComment>
  <threadedComment ref="S20" dT="2026-07-18T06:16:43.52" personId="{DB18A180-0565-44F9-A250-55A6FB4A4E2B}" id="{FFF37386-9ADD-4952-A175-0DE242DAABC2}">
    <text>19. Agar 10% cost reduction marketing expenses par apply ho, to savings kitni hogi?</text>
  </threadedComment>
  <threadedComment ref="S21" dT="2026-07-18T06:16:43.52" personId="{DB18A180-0565-44F9-A250-55A6FB4A4E2B}" id="{707966B0-A0EF-4DB1-A37C-FA72470C7460}">
    <text>20. Ek dashboard-ready KPI block banaiye: Total Revenue, Total Expense, Pending Amount, Tax Total.</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E4E1F2E-CB46-44A5-85BA-380B2CCDE3EF}">
  <we:reference id="wa200005502" version="1.0.0.13" store="en-US" storeType="OMEX"/>
  <we:alternateReferences>
    <we:reference id="wa200005502" version="1.0.0.13" store="" storeType="OMEX"/>
  </we:alternateReferences>
  <we:properties>
    <we:property name="docId" value="&quot;O0d6TsrgPHDSZZP2GgIpO&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D6CF2-3A35-438A-8E22-4B2FA7FE4351}">
  <dimension ref="A3:L13"/>
  <sheetViews>
    <sheetView workbookViewId="0">
      <selection activeCell="K28" sqref="K28:K29"/>
    </sheetView>
  </sheetViews>
  <sheetFormatPr defaultRowHeight="15" x14ac:dyDescent="0.25"/>
  <cols>
    <col min="1" max="1" width="13.140625" bestFit="1" customWidth="1"/>
    <col min="2" max="2" width="20" bestFit="1" customWidth="1"/>
    <col min="11" max="11" width="13.140625" bestFit="1" customWidth="1"/>
    <col min="12" max="12" width="18.7109375" bestFit="1" customWidth="1"/>
  </cols>
  <sheetData>
    <row r="3" spans="1:12" x14ac:dyDescent="0.25">
      <c r="A3" s="8" t="s">
        <v>437</v>
      </c>
      <c r="B3" t="s">
        <v>439</v>
      </c>
    </row>
    <row r="4" spans="1:12" x14ac:dyDescent="0.25">
      <c r="A4" s="9" t="s">
        <v>18</v>
      </c>
      <c r="B4">
        <v>31</v>
      </c>
      <c r="K4" s="8" t="s">
        <v>437</v>
      </c>
      <c r="L4" t="s">
        <v>438</v>
      </c>
    </row>
    <row r="5" spans="1:12" x14ac:dyDescent="0.25">
      <c r="A5" s="9" t="s">
        <v>78</v>
      </c>
      <c r="B5">
        <v>28</v>
      </c>
      <c r="K5" s="9" t="s">
        <v>33</v>
      </c>
      <c r="L5" s="10">
        <v>13489585</v>
      </c>
    </row>
    <row r="6" spans="1:12" x14ac:dyDescent="0.25">
      <c r="A6" s="9" t="s">
        <v>108</v>
      </c>
      <c r="B6">
        <v>31</v>
      </c>
      <c r="K6" s="9" t="s">
        <v>23</v>
      </c>
      <c r="L6" s="10">
        <v>16699249</v>
      </c>
    </row>
    <row r="7" spans="1:12" x14ac:dyDescent="0.25">
      <c r="A7" s="9" t="s">
        <v>200</v>
      </c>
      <c r="B7">
        <v>30</v>
      </c>
    </row>
    <row r="8" spans="1:12" x14ac:dyDescent="0.25">
      <c r="A8" s="9" t="s">
        <v>231</v>
      </c>
      <c r="B8">
        <v>31</v>
      </c>
    </row>
    <row r="9" spans="1:12" x14ac:dyDescent="0.25">
      <c r="A9" s="9" t="s">
        <v>263</v>
      </c>
      <c r="B9">
        <v>30</v>
      </c>
    </row>
    <row r="10" spans="1:12" x14ac:dyDescent="0.25">
      <c r="A10" s="9" t="s">
        <v>294</v>
      </c>
      <c r="B10">
        <v>31</v>
      </c>
    </row>
    <row r="11" spans="1:12" x14ac:dyDescent="0.25">
      <c r="A11" s="9" t="s">
        <v>326</v>
      </c>
      <c r="B11">
        <v>31</v>
      </c>
    </row>
    <row r="12" spans="1:12" x14ac:dyDescent="0.25">
      <c r="A12" s="9" t="s">
        <v>358</v>
      </c>
      <c r="B12">
        <v>30</v>
      </c>
    </row>
    <row r="13" spans="1:12" x14ac:dyDescent="0.25">
      <c r="A13" s="9" t="s">
        <v>389</v>
      </c>
      <c r="B13">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EF536-10F8-41D7-A610-58137964D6F0}">
  <dimension ref="A3:C10"/>
  <sheetViews>
    <sheetView workbookViewId="0">
      <selection activeCell="E18" sqref="E18"/>
    </sheetView>
  </sheetViews>
  <sheetFormatPr defaultRowHeight="15" x14ac:dyDescent="0.25"/>
  <cols>
    <col min="1" max="1" width="13.42578125" bestFit="1" customWidth="1"/>
    <col min="2" max="2" width="16.28515625" bestFit="1" customWidth="1"/>
    <col min="3" max="3" width="7.5703125" bestFit="1" customWidth="1"/>
    <col min="4" max="4" width="11.28515625" bestFit="1" customWidth="1"/>
  </cols>
  <sheetData>
    <row r="3" spans="1:3" x14ac:dyDescent="0.25">
      <c r="A3" s="8" t="s">
        <v>441</v>
      </c>
      <c r="B3" s="8" t="s">
        <v>440</v>
      </c>
    </row>
    <row r="4" spans="1:3" x14ac:dyDescent="0.25">
      <c r="A4" s="8" t="s">
        <v>437</v>
      </c>
      <c r="B4" t="s">
        <v>33</v>
      </c>
      <c r="C4" t="s">
        <v>23</v>
      </c>
    </row>
    <row r="5" spans="1:3" x14ac:dyDescent="0.25">
      <c r="A5" s="9" t="s">
        <v>50</v>
      </c>
      <c r="B5">
        <v>37</v>
      </c>
      <c r="C5">
        <v>22</v>
      </c>
    </row>
    <row r="6" spans="1:3" x14ac:dyDescent="0.25">
      <c r="A6" s="9" t="s">
        <v>44</v>
      </c>
      <c r="B6">
        <v>38</v>
      </c>
    </row>
    <row r="7" spans="1:3" x14ac:dyDescent="0.25">
      <c r="A7" s="9" t="s">
        <v>60</v>
      </c>
      <c r="B7">
        <v>37</v>
      </c>
    </row>
    <row r="8" spans="1:3" x14ac:dyDescent="0.25">
      <c r="A8" s="9" t="s">
        <v>29</v>
      </c>
      <c r="B8">
        <v>48</v>
      </c>
    </row>
    <row r="9" spans="1:3" x14ac:dyDescent="0.25">
      <c r="A9" s="9" t="s">
        <v>38</v>
      </c>
      <c r="B9">
        <v>46</v>
      </c>
    </row>
    <row r="10" spans="1:3" x14ac:dyDescent="0.25">
      <c r="A10" s="9" t="s">
        <v>19</v>
      </c>
      <c r="C10">
        <v>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7C208-5082-4867-9011-FBCC59AE2808}">
  <dimension ref="A3:D10"/>
  <sheetViews>
    <sheetView workbookViewId="0">
      <selection activeCell="P19" sqref="P19"/>
    </sheetView>
  </sheetViews>
  <sheetFormatPr defaultRowHeight="15" x14ac:dyDescent="0.25"/>
  <cols>
    <col min="1" max="1" width="24.85546875" bestFit="1" customWidth="1"/>
    <col min="2" max="2" width="16.28515625" bestFit="1" customWidth="1"/>
    <col min="3" max="3" width="10.85546875" bestFit="1" customWidth="1"/>
    <col min="4" max="4" width="4.140625" bestFit="1" customWidth="1"/>
    <col min="5" max="5" width="11.28515625" bestFit="1" customWidth="1"/>
  </cols>
  <sheetData>
    <row r="3" spans="1:4" x14ac:dyDescent="0.25">
      <c r="A3" s="8" t="s">
        <v>442</v>
      </c>
      <c r="B3" s="8" t="s">
        <v>440</v>
      </c>
    </row>
    <row r="4" spans="1:4" x14ac:dyDescent="0.25">
      <c r="A4" s="8" t="s">
        <v>437</v>
      </c>
      <c r="B4" t="s">
        <v>24</v>
      </c>
      <c r="C4" t="s">
        <v>34</v>
      </c>
      <c r="D4" t="s">
        <v>58</v>
      </c>
    </row>
    <row r="5" spans="1:4" x14ac:dyDescent="0.25">
      <c r="A5" s="9" t="s">
        <v>50</v>
      </c>
      <c r="B5">
        <v>59</v>
      </c>
    </row>
    <row r="6" spans="1:4" x14ac:dyDescent="0.25">
      <c r="A6" s="9" t="s">
        <v>44</v>
      </c>
      <c r="B6">
        <v>14</v>
      </c>
      <c r="C6">
        <v>24</v>
      </c>
    </row>
    <row r="7" spans="1:4" x14ac:dyDescent="0.25">
      <c r="A7" s="9" t="s">
        <v>60</v>
      </c>
      <c r="B7">
        <v>12</v>
      </c>
      <c r="C7">
        <v>25</v>
      </c>
    </row>
    <row r="8" spans="1:4" x14ac:dyDescent="0.25">
      <c r="A8" s="9" t="s">
        <v>29</v>
      </c>
      <c r="B8">
        <v>36</v>
      </c>
      <c r="C8">
        <v>12</v>
      </c>
    </row>
    <row r="9" spans="1:4" x14ac:dyDescent="0.25">
      <c r="A9" s="9" t="s">
        <v>38</v>
      </c>
      <c r="B9">
        <v>12</v>
      </c>
      <c r="C9">
        <v>12</v>
      </c>
      <c r="D9">
        <v>22</v>
      </c>
    </row>
    <row r="10" spans="1:4" x14ac:dyDescent="0.25">
      <c r="A10" s="9" t="s">
        <v>19</v>
      </c>
      <c r="B10">
        <v>61</v>
      </c>
      <c r="D10">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E7999-C470-4DD7-A986-255AEB9E7D92}">
  <dimension ref="A3:C10"/>
  <sheetViews>
    <sheetView workbookViewId="0">
      <selection activeCell="O17" sqref="O17"/>
    </sheetView>
  </sheetViews>
  <sheetFormatPr defaultRowHeight="15" x14ac:dyDescent="0.25"/>
  <cols>
    <col min="1" max="1" width="14.5703125" bestFit="1" customWidth="1"/>
    <col min="2" max="2" width="16.28515625" bestFit="1" customWidth="1"/>
    <col min="3" max="3" width="8.28515625" bestFit="1" customWidth="1"/>
    <col min="4" max="4" width="11.28515625" bestFit="1" customWidth="1"/>
  </cols>
  <sheetData>
    <row r="3" spans="1:3" x14ac:dyDescent="0.25">
      <c r="A3" s="8" t="s">
        <v>443</v>
      </c>
      <c r="B3" s="8" t="s">
        <v>440</v>
      </c>
    </row>
    <row r="4" spans="1:3" x14ac:dyDescent="0.25">
      <c r="A4" s="8" t="s">
        <v>437</v>
      </c>
      <c r="B4" t="s">
        <v>25</v>
      </c>
      <c r="C4" t="s">
        <v>48</v>
      </c>
    </row>
    <row r="5" spans="1:3" x14ac:dyDescent="0.25">
      <c r="A5" s="9" t="s">
        <v>50</v>
      </c>
      <c r="B5">
        <v>37</v>
      </c>
      <c r="C5">
        <v>22</v>
      </c>
    </row>
    <row r="6" spans="1:3" x14ac:dyDescent="0.25">
      <c r="A6" s="9" t="s">
        <v>44</v>
      </c>
      <c r="B6">
        <v>28</v>
      </c>
      <c r="C6">
        <v>10</v>
      </c>
    </row>
    <row r="7" spans="1:3" x14ac:dyDescent="0.25">
      <c r="A7" s="9" t="s">
        <v>60</v>
      </c>
      <c r="B7">
        <v>29</v>
      </c>
      <c r="C7">
        <v>8</v>
      </c>
    </row>
    <row r="8" spans="1:3" x14ac:dyDescent="0.25">
      <c r="A8" s="9" t="s">
        <v>29</v>
      </c>
      <c r="B8">
        <v>38</v>
      </c>
      <c r="C8">
        <v>10</v>
      </c>
    </row>
    <row r="9" spans="1:3" x14ac:dyDescent="0.25">
      <c r="A9" s="9" t="s">
        <v>38</v>
      </c>
      <c r="B9">
        <v>34</v>
      </c>
      <c r="C9">
        <v>12</v>
      </c>
    </row>
    <row r="10" spans="1:3" x14ac:dyDescent="0.25">
      <c r="A10" s="9" t="s">
        <v>19</v>
      </c>
      <c r="B10">
        <v>59</v>
      </c>
      <c r="C10">
        <v>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8A5D2-41A5-408B-A397-E4CB3DE8D165}">
  <dimension ref="A3:B28"/>
  <sheetViews>
    <sheetView workbookViewId="0">
      <selection activeCell="F22" sqref="F22"/>
    </sheetView>
  </sheetViews>
  <sheetFormatPr defaultRowHeight="15" x14ac:dyDescent="0.25"/>
  <cols>
    <col min="1" max="1" width="18" bestFit="1" customWidth="1"/>
    <col min="2" max="2" width="22.140625" bestFit="1" customWidth="1"/>
    <col min="3" max="3" width="3.42578125" bestFit="1" customWidth="1"/>
    <col min="4" max="4" width="3" bestFit="1" customWidth="1"/>
    <col min="5" max="5" width="10.140625" bestFit="1" customWidth="1"/>
    <col min="6" max="6" width="10.85546875" bestFit="1" customWidth="1"/>
    <col min="7" max="7" width="5.5703125" bestFit="1" customWidth="1"/>
    <col min="8" max="9" width="11.28515625" bestFit="1" customWidth="1"/>
    <col min="10" max="10" width="16.140625" bestFit="1" customWidth="1"/>
    <col min="11" max="11" width="16" bestFit="1" customWidth="1"/>
    <col min="12" max="12" width="11.5703125" bestFit="1" customWidth="1"/>
    <col min="13" max="13" width="8.28515625" bestFit="1" customWidth="1"/>
    <col min="14" max="14" width="8.7109375" bestFit="1" customWidth="1"/>
    <col min="15" max="15" width="13.42578125" bestFit="1" customWidth="1"/>
    <col min="16" max="16" width="13.5703125" bestFit="1" customWidth="1"/>
    <col min="17" max="17" width="13.7109375" bestFit="1" customWidth="1"/>
    <col min="18" max="18" width="11.85546875" bestFit="1" customWidth="1"/>
    <col min="19" max="19" width="9.7109375" bestFit="1" customWidth="1"/>
    <col min="20" max="20" width="14.85546875" bestFit="1" customWidth="1"/>
    <col min="21" max="21" width="11.42578125" bestFit="1" customWidth="1"/>
    <col min="22" max="23" width="11.28515625" bestFit="1" customWidth="1"/>
    <col min="24" max="24" width="12.85546875" bestFit="1" customWidth="1"/>
    <col min="25" max="25" width="14.85546875" bestFit="1" customWidth="1"/>
    <col min="26" max="26" width="13.140625" bestFit="1" customWidth="1"/>
    <col min="27" max="27" width="11.28515625" bestFit="1" customWidth="1"/>
  </cols>
  <sheetData>
    <row r="3" spans="1:2" x14ac:dyDescent="0.25">
      <c r="A3" s="8" t="s">
        <v>437</v>
      </c>
      <c r="B3" t="s">
        <v>444</v>
      </c>
    </row>
    <row r="4" spans="1:2" x14ac:dyDescent="0.25">
      <c r="A4" s="9" t="s">
        <v>22</v>
      </c>
      <c r="B4">
        <v>12</v>
      </c>
    </row>
    <row r="5" spans="1:2" x14ac:dyDescent="0.25">
      <c r="A5" s="9" t="s">
        <v>97</v>
      </c>
      <c r="B5">
        <v>13</v>
      </c>
    </row>
    <row r="6" spans="1:2" x14ac:dyDescent="0.25">
      <c r="A6" s="9" t="s">
        <v>93</v>
      </c>
      <c r="B6">
        <v>12</v>
      </c>
    </row>
    <row r="7" spans="1:2" x14ac:dyDescent="0.25">
      <c r="A7" s="9" t="s">
        <v>137</v>
      </c>
      <c r="B7">
        <v>12</v>
      </c>
    </row>
    <row r="8" spans="1:2" x14ac:dyDescent="0.25">
      <c r="A8" s="9" t="s">
        <v>32</v>
      </c>
      <c r="B8">
        <v>12</v>
      </c>
    </row>
    <row r="9" spans="1:2" x14ac:dyDescent="0.25">
      <c r="A9" s="9" t="s">
        <v>67</v>
      </c>
      <c r="B9">
        <v>12</v>
      </c>
    </row>
    <row r="10" spans="1:2" x14ac:dyDescent="0.25">
      <c r="A10" s="9" t="s">
        <v>63</v>
      </c>
      <c r="B10">
        <v>13</v>
      </c>
    </row>
    <row r="11" spans="1:2" x14ac:dyDescent="0.25">
      <c r="A11" s="9" t="s">
        <v>72</v>
      </c>
      <c r="B11">
        <v>13</v>
      </c>
    </row>
    <row r="12" spans="1:2" x14ac:dyDescent="0.25">
      <c r="A12" s="9" t="s">
        <v>53</v>
      </c>
      <c r="B12">
        <v>13</v>
      </c>
    </row>
    <row r="13" spans="1:2" x14ac:dyDescent="0.25">
      <c r="A13" s="9" t="s">
        <v>133</v>
      </c>
      <c r="B13">
        <v>10</v>
      </c>
    </row>
    <row r="14" spans="1:2" x14ac:dyDescent="0.25">
      <c r="A14" s="9" t="s">
        <v>106</v>
      </c>
      <c r="B14">
        <v>11</v>
      </c>
    </row>
    <row r="15" spans="1:2" x14ac:dyDescent="0.25">
      <c r="A15" s="9" t="s">
        <v>122</v>
      </c>
      <c r="B15">
        <v>11</v>
      </c>
    </row>
    <row r="16" spans="1:2" x14ac:dyDescent="0.25">
      <c r="A16" s="9" t="s">
        <v>126</v>
      </c>
      <c r="B16">
        <v>11</v>
      </c>
    </row>
    <row r="17" spans="1:2" x14ac:dyDescent="0.25">
      <c r="A17" s="9" t="s">
        <v>76</v>
      </c>
      <c r="B17">
        <v>11</v>
      </c>
    </row>
    <row r="18" spans="1:2" x14ac:dyDescent="0.25">
      <c r="A18" s="9" t="s">
        <v>57</v>
      </c>
      <c r="B18">
        <v>11</v>
      </c>
    </row>
    <row r="19" spans="1:2" x14ac:dyDescent="0.25">
      <c r="A19" s="9" t="s">
        <v>110</v>
      </c>
      <c r="B19">
        <v>12</v>
      </c>
    </row>
    <row r="20" spans="1:2" x14ac:dyDescent="0.25">
      <c r="A20" s="9" t="s">
        <v>118</v>
      </c>
      <c r="B20">
        <v>12</v>
      </c>
    </row>
    <row r="21" spans="1:2" x14ac:dyDescent="0.25">
      <c r="A21" s="9" t="s">
        <v>84</v>
      </c>
      <c r="B21">
        <v>13</v>
      </c>
    </row>
    <row r="22" spans="1:2" x14ac:dyDescent="0.25">
      <c r="A22" s="9" t="s">
        <v>101</v>
      </c>
      <c r="B22">
        <v>12</v>
      </c>
    </row>
    <row r="23" spans="1:2" x14ac:dyDescent="0.25">
      <c r="A23" s="9" t="s">
        <v>114</v>
      </c>
      <c r="B23">
        <v>11</v>
      </c>
    </row>
    <row r="24" spans="1:2" x14ac:dyDescent="0.25">
      <c r="A24" s="9" t="s">
        <v>47</v>
      </c>
      <c r="B24">
        <v>14</v>
      </c>
    </row>
    <row r="25" spans="1:2" x14ac:dyDescent="0.25">
      <c r="A25" s="9" t="s">
        <v>89</v>
      </c>
      <c r="B25">
        <v>12</v>
      </c>
    </row>
    <row r="26" spans="1:2" x14ac:dyDescent="0.25">
      <c r="A26" s="9" t="s">
        <v>41</v>
      </c>
      <c r="B26">
        <v>12</v>
      </c>
    </row>
    <row r="27" spans="1:2" x14ac:dyDescent="0.25">
      <c r="A27" s="9" t="s">
        <v>80</v>
      </c>
      <c r="B27">
        <v>13</v>
      </c>
    </row>
    <row r="28" spans="1:2" x14ac:dyDescent="0.25">
      <c r="A28" s="9" t="s">
        <v>129</v>
      </c>
      <c r="B28">
        <v>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97D6B-B6EE-41D6-9A6C-29235656CEAD}">
  <dimension ref="A3:B9"/>
  <sheetViews>
    <sheetView workbookViewId="0">
      <selection activeCell="J22" sqref="J22"/>
    </sheetView>
  </sheetViews>
  <sheetFormatPr defaultRowHeight="15" x14ac:dyDescent="0.25"/>
  <cols>
    <col min="1" max="1" width="13.140625" bestFit="1" customWidth="1"/>
    <col min="2" max="2" width="18.7109375" bestFit="1" customWidth="1"/>
  </cols>
  <sheetData>
    <row r="3" spans="1:2" x14ac:dyDescent="0.25">
      <c r="A3" s="8" t="s">
        <v>437</v>
      </c>
      <c r="B3" t="s">
        <v>438</v>
      </c>
    </row>
    <row r="4" spans="1:2" x14ac:dyDescent="0.25">
      <c r="A4" s="9" t="s">
        <v>50</v>
      </c>
      <c r="B4" s="10">
        <v>2693427</v>
      </c>
    </row>
    <row r="5" spans="1:2" x14ac:dyDescent="0.25">
      <c r="A5" s="9" t="s">
        <v>44</v>
      </c>
      <c r="B5" s="10">
        <v>1348458</v>
      </c>
    </row>
    <row r="6" spans="1:2" x14ac:dyDescent="0.25">
      <c r="A6" s="9" t="s">
        <v>60</v>
      </c>
      <c r="B6" s="10">
        <v>4226336</v>
      </c>
    </row>
    <row r="7" spans="1:2" x14ac:dyDescent="0.25">
      <c r="A7" s="9" t="s">
        <v>29</v>
      </c>
      <c r="B7" s="10">
        <v>3572155</v>
      </c>
    </row>
    <row r="8" spans="1:2" x14ac:dyDescent="0.25">
      <c r="A8" s="9" t="s">
        <v>38</v>
      </c>
      <c r="B8" s="10">
        <v>1978849</v>
      </c>
    </row>
    <row r="9" spans="1:2" x14ac:dyDescent="0.25">
      <c r="A9" s="9" t="s">
        <v>19</v>
      </c>
      <c r="B9" s="10">
        <v>16369609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F88A5-37E4-461B-AFF2-01C2050AA96B}">
  <dimension ref="A3:B28"/>
  <sheetViews>
    <sheetView workbookViewId="0">
      <selection activeCell="L9" sqref="L9"/>
    </sheetView>
  </sheetViews>
  <sheetFormatPr defaultRowHeight="15" x14ac:dyDescent="0.25"/>
  <cols>
    <col min="1" max="1" width="13.140625" bestFit="1" customWidth="1"/>
    <col min="2" max="2" width="15.28515625" bestFit="1" customWidth="1"/>
  </cols>
  <sheetData>
    <row r="3" spans="1:2" x14ac:dyDescent="0.25">
      <c r="A3" s="8" t="s">
        <v>437</v>
      </c>
      <c r="B3" t="s">
        <v>446</v>
      </c>
    </row>
    <row r="4" spans="1:2" x14ac:dyDescent="0.25">
      <c r="A4" s="9" t="s">
        <v>50</v>
      </c>
      <c r="B4">
        <v>59</v>
      </c>
    </row>
    <row r="5" spans="1:2" x14ac:dyDescent="0.25">
      <c r="A5" s="11" t="s">
        <v>54</v>
      </c>
      <c r="B5">
        <v>35</v>
      </c>
    </row>
    <row r="6" spans="1:2" x14ac:dyDescent="0.25">
      <c r="A6" s="11" t="s">
        <v>42</v>
      </c>
      <c r="B6">
        <v>24</v>
      </c>
    </row>
    <row r="7" spans="1:2" x14ac:dyDescent="0.25">
      <c r="A7" s="9" t="s">
        <v>44</v>
      </c>
      <c r="B7">
        <v>38</v>
      </c>
    </row>
    <row r="8" spans="1:2" x14ac:dyDescent="0.25">
      <c r="A8" s="11" t="s">
        <v>26</v>
      </c>
      <c r="B8">
        <v>14</v>
      </c>
    </row>
    <row r="9" spans="1:2" x14ac:dyDescent="0.25">
      <c r="A9" s="11" t="s">
        <v>42</v>
      </c>
      <c r="B9">
        <v>11</v>
      </c>
    </row>
    <row r="10" spans="1:2" x14ac:dyDescent="0.25">
      <c r="A10" s="11" t="s">
        <v>35</v>
      </c>
      <c r="B10">
        <v>13</v>
      </c>
    </row>
    <row r="11" spans="1:2" x14ac:dyDescent="0.25">
      <c r="A11" s="9" t="s">
        <v>60</v>
      </c>
      <c r="B11">
        <v>37</v>
      </c>
    </row>
    <row r="12" spans="1:2" x14ac:dyDescent="0.25">
      <c r="A12" s="11" t="s">
        <v>54</v>
      </c>
      <c r="B12">
        <v>12</v>
      </c>
    </row>
    <row r="13" spans="1:2" x14ac:dyDescent="0.25">
      <c r="A13" s="11" t="s">
        <v>42</v>
      </c>
      <c r="B13">
        <v>13</v>
      </c>
    </row>
    <row r="14" spans="1:2" x14ac:dyDescent="0.25">
      <c r="A14" s="11" t="s">
        <v>35</v>
      </c>
      <c r="B14">
        <v>12</v>
      </c>
    </row>
    <row r="15" spans="1:2" x14ac:dyDescent="0.25">
      <c r="A15" s="9" t="s">
        <v>29</v>
      </c>
      <c r="B15">
        <v>48</v>
      </c>
    </row>
    <row r="16" spans="1:2" x14ac:dyDescent="0.25">
      <c r="A16" s="11" t="s">
        <v>54</v>
      </c>
      <c r="B16">
        <v>24</v>
      </c>
    </row>
    <row r="17" spans="1:2" x14ac:dyDescent="0.25">
      <c r="A17" s="11" t="s">
        <v>42</v>
      </c>
      <c r="B17">
        <v>12</v>
      </c>
    </row>
    <row r="18" spans="1:2" x14ac:dyDescent="0.25">
      <c r="A18" s="11" t="s">
        <v>35</v>
      </c>
      <c r="B18">
        <v>12</v>
      </c>
    </row>
    <row r="19" spans="1:2" x14ac:dyDescent="0.25">
      <c r="A19" s="9" t="s">
        <v>38</v>
      </c>
      <c r="B19">
        <v>46</v>
      </c>
    </row>
    <row r="20" spans="1:2" x14ac:dyDescent="0.25">
      <c r="A20" s="11" t="s">
        <v>54</v>
      </c>
      <c r="B20">
        <v>12</v>
      </c>
    </row>
    <row r="21" spans="1:2" x14ac:dyDescent="0.25">
      <c r="A21" s="11" t="s">
        <v>26</v>
      </c>
      <c r="B21">
        <v>12</v>
      </c>
    </row>
    <row r="22" spans="1:2" x14ac:dyDescent="0.25">
      <c r="A22" s="11" t="s">
        <v>42</v>
      </c>
      <c r="B22">
        <v>12</v>
      </c>
    </row>
    <row r="23" spans="1:2" x14ac:dyDescent="0.25">
      <c r="A23" s="11" t="s">
        <v>35</v>
      </c>
      <c r="B23">
        <v>10</v>
      </c>
    </row>
    <row r="24" spans="1:2" x14ac:dyDescent="0.25">
      <c r="A24" s="9" t="s">
        <v>19</v>
      </c>
      <c r="B24">
        <v>72</v>
      </c>
    </row>
    <row r="25" spans="1:2" x14ac:dyDescent="0.25">
      <c r="A25" s="11" t="s">
        <v>26</v>
      </c>
      <c r="B25">
        <v>37</v>
      </c>
    </row>
    <row r="26" spans="1:2" x14ac:dyDescent="0.25">
      <c r="A26" s="11" t="s">
        <v>42</v>
      </c>
      <c r="B26">
        <v>12</v>
      </c>
    </row>
    <row r="27" spans="1:2" x14ac:dyDescent="0.25">
      <c r="A27" s="11" t="s">
        <v>35</v>
      </c>
      <c r="B27">
        <v>23</v>
      </c>
    </row>
    <row r="28" spans="1:2" x14ac:dyDescent="0.25">
      <c r="A28" s="9" t="s">
        <v>445</v>
      </c>
      <c r="B28">
        <v>300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78C79-0B51-49FE-85E2-D24A39DBDF08}">
  <dimension ref="A3:B10"/>
  <sheetViews>
    <sheetView workbookViewId="0">
      <selection activeCell="K22" sqref="K22"/>
    </sheetView>
  </sheetViews>
  <sheetFormatPr defaultRowHeight="15" x14ac:dyDescent="0.25"/>
  <cols>
    <col min="1" max="1" width="13.140625" bestFit="1" customWidth="1"/>
    <col min="2" max="2" width="18.42578125" bestFit="1" customWidth="1"/>
    <col min="3" max="3" width="3.42578125" bestFit="1" customWidth="1"/>
    <col min="4" max="4" width="2.5703125" bestFit="1" customWidth="1"/>
    <col min="5" max="5" width="10.140625" bestFit="1" customWidth="1"/>
    <col min="6" max="6" width="10.85546875" bestFit="1" customWidth="1"/>
    <col min="7" max="7" width="5.5703125" bestFit="1" customWidth="1"/>
    <col min="8" max="8" width="11.28515625" bestFit="1" customWidth="1"/>
    <col min="9" max="9" width="11.140625" bestFit="1" customWidth="1"/>
    <col min="10" max="10" width="14.28515625" bestFit="1" customWidth="1"/>
    <col min="11" max="11" width="11.140625" bestFit="1" customWidth="1"/>
    <col min="12" max="12" width="14.28515625" bestFit="1" customWidth="1"/>
    <col min="13" max="13" width="11.140625" bestFit="1" customWidth="1"/>
    <col min="14" max="14" width="14.28515625" bestFit="1" customWidth="1"/>
    <col min="15" max="15" width="11.140625" bestFit="1" customWidth="1"/>
    <col min="16" max="16" width="14.28515625" bestFit="1" customWidth="1"/>
    <col min="17" max="17" width="11.140625" bestFit="1" customWidth="1"/>
    <col min="18" max="18" width="14.28515625" bestFit="1" customWidth="1"/>
    <col min="19" max="19" width="11.140625" bestFit="1" customWidth="1"/>
    <col min="20" max="20" width="14.28515625" bestFit="1" customWidth="1"/>
    <col min="21" max="21" width="11.140625" bestFit="1" customWidth="1"/>
    <col min="22" max="22" width="14.28515625" bestFit="1" customWidth="1"/>
    <col min="23" max="23" width="11.140625" bestFit="1" customWidth="1"/>
    <col min="24" max="24" width="14.28515625" bestFit="1" customWidth="1"/>
    <col min="25" max="25" width="11.140625" bestFit="1" customWidth="1"/>
    <col min="26" max="26" width="14.28515625" bestFit="1" customWidth="1"/>
    <col min="27" max="27" width="11.140625" bestFit="1" customWidth="1"/>
    <col min="28" max="28" width="14.28515625" bestFit="1" customWidth="1"/>
    <col min="29" max="29" width="11.140625" bestFit="1" customWidth="1"/>
    <col min="30" max="30" width="14.28515625" bestFit="1" customWidth="1"/>
    <col min="31" max="31" width="11.140625" bestFit="1" customWidth="1"/>
    <col min="32" max="32" width="14.28515625" bestFit="1" customWidth="1"/>
    <col min="33" max="33" width="11.140625" bestFit="1" customWidth="1"/>
    <col min="34" max="34" width="14.28515625" bestFit="1" customWidth="1"/>
    <col min="35" max="35" width="11.140625" bestFit="1" customWidth="1"/>
    <col min="36" max="36" width="14.28515625" bestFit="1" customWidth="1"/>
    <col min="37" max="37" width="11.140625" bestFit="1" customWidth="1"/>
    <col min="38" max="38" width="14.28515625" bestFit="1" customWidth="1"/>
    <col min="39" max="39" width="11.140625" bestFit="1" customWidth="1"/>
    <col min="40" max="40" width="14.28515625" bestFit="1" customWidth="1"/>
    <col min="41" max="41" width="11.140625" bestFit="1" customWidth="1"/>
    <col min="42" max="42" width="14.28515625" bestFit="1" customWidth="1"/>
    <col min="43" max="43" width="11.140625" bestFit="1" customWidth="1"/>
    <col min="44" max="44" width="14.28515625" bestFit="1" customWidth="1"/>
    <col min="45" max="46" width="10.85546875" bestFit="1" customWidth="1"/>
    <col min="47" max="47" width="14.28515625" bestFit="1" customWidth="1"/>
    <col min="48" max="48" width="11.140625" bestFit="1" customWidth="1"/>
    <col min="49" max="49" width="14.28515625" bestFit="1" customWidth="1"/>
    <col min="50" max="50" width="11.140625" bestFit="1" customWidth="1"/>
    <col min="51" max="51" width="14.28515625" bestFit="1" customWidth="1"/>
    <col min="52" max="52" width="11.140625" bestFit="1" customWidth="1"/>
    <col min="53" max="53" width="14.28515625" bestFit="1" customWidth="1"/>
    <col min="54" max="54" width="11.140625" bestFit="1" customWidth="1"/>
    <col min="55" max="55" width="14.28515625" bestFit="1" customWidth="1"/>
    <col min="56" max="56" width="11.140625" bestFit="1" customWidth="1"/>
    <col min="57" max="57" width="14.28515625" bestFit="1" customWidth="1"/>
    <col min="58" max="58" width="11.140625" bestFit="1" customWidth="1"/>
    <col min="59" max="59" width="14.28515625" bestFit="1" customWidth="1"/>
    <col min="60" max="60" width="11.140625" bestFit="1" customWidth="1"/>
    <col min="61" max="61" width="14.28515625" bestFit="1" customWidth="1"/>
    <col min="62" max="62" width="11.140625" bestFit="1" customWidth="1"/>
    <col min="63" max="63" width="14.28515625" bestFit="1" customWidth="1"/>
    <col min="64" max="64" width="11.140625" bestFit="1" customWidth="1"/>
    <col min="65" max="65" width="14.28515625" bestFit="1" customWidth="1"/>
    <col min="66" max="66" width="11.140625" bestFit="1" customWidth="1"/>
    <col min="67" max="67" width="14.28515625" bestFit="1" customWidth="1"/>
    <col min="68" max="68" width="11.140625" bestFit="1" customWidth="1"/>
    <col min="69" max="69" width="14.28515625" bestFit="1" customWidth="1"/>
    <col min="70" max="70" width="11.140625" bestFit="1" customWidth="1"/>
    <col min="71" max="71" width="14.28515625" bestFit="1" customWidth="1"/>
    <col min="72" max="72" width="11.140625" bestFit="1" customWidth="1"/>
    <col min="73" max="73" width="14.28515625" bestFit="1" customWidth="1"/>
    <col min="74" max="74" width="11.140625" bestFit="1" customWidth="1"/>
    <col min="75" max="75" width="14.28515625" bestFit="1" customWidth="1"/>
    <col min="76" max="76" width="11.140625" bestFit="1" customWidth="1"/>
    <col min="77" max="77" width="14.28515625" bestFit="1" customWidth="1"/>
    <col min="78" max="78" width="11.140625" bestFit="1" customWidth="1"/>
    <col min="79" max="79" width="14.28515625" bestFit="1" customWidth="1"/>
    <col min="80" max="80" width="11.140625" bestFit="1" customWidth="1"/>
    <col min="81" max="81" width="14.28515625" bestFit="1" customWidth="1"/>
    <col min="82" max="82" width="11.140625" bestFit="1" customWidth="1"/>
    <col min="83" max="83" width="14.28515625" bestFit="1" customWidth="1"/>
    <col min="84" max="84" width="11.140625" bestFit="1" customWidth="1"/>
    <col min="85" max="85" width="14.28515625" bestFit="1" customWidth="1"/>
    <col min="86" max="86" width="11.140625" bestFit="1" customWidth="1"/>
    <col min="87" max="87" width="14.28515625" bestFit="1" customWidth="1"/>
    <col min="88" max="88" width="11.140625" bestFit="1" customWidth="1"/>
    <col min="89" max="89" width="14.28515625" bestFit="1" customWidth="1"/>
    <col min="90" max="90" width="11.140625" bestFit="1" customWidth="1"/>
    <col min="91" max="91" width="14.28515625" bestFit="1" customWidth="1"/>
    <col min="92" max="92" width="11.140625" bestFit="1" customWidth="1"/>
    <col min="93" max="93" width="14.28515625" bestFit="1" customWidth="1"/>
    <col min="94" max="94" width="11.140625" bestFit="1" customWidth="1"/>
    <col min="95" max="95" width="14.28515625" bestFit="1" customWidth="1"/>
    <col min="96" max="96" width="11.140625" bestFit="1" customWidth="1"/>
    <col min="97" max="97" width="14.28515625" bestFit="1" customWidth="1"/>
    <col min="98" max="98" width="11.140625" bestFit="1" customWidth="1"/>
    <col min="99" max="99" width="14.28515625" bestFit="1" customWidth="1"/>
    <col min="100" max="100" width="11.140625" bestFit="1" customWidth="1"/>
    <col min="101" max="101" width="14.28515625" bestFit="1" customWidth="1"/>
    <col min="102" max="102" width="11.140625" bestFit="1" customWidth="1"/>
    <col min="103" max="103" width="14.28515625" bestFit="1" customWidth="1"/>
    <col min="104" max="104" width="11.140625" bestFit="1" customWidth="1"/>
    <col min="105" max="105" width="14.28515625" bestFit="1" customWidth="1"/>
    <col min="106" max="106" width="11.140625" bestFit="1" customWidth="1"/>
    <col min="107" max="107" width="14.28515625" bestFit="1" customWidth="1"/>
    <col min="108" max="108" width="11.140625" bestFit="1" customWidth="1"/>
    <col min="109" max="109" width="14.28515625" bestFit="1" customWidth="1"/>
    <col min="110" max="110" width="11.140625" bestFit="1" customWidth="1"/>
    <col min="111" max="111" width="14.28515625" bestFit="1" customWidth="1"/>
    <col min="112" max="112" width="11.140625" bestFit="1" customWidth="1"/>
    <col min="113" max="113" width="14.28515625" bestFit="1" customWidth="1"/>
    <col min="114" max="114" width="11.140625" bestFit="1" customWidth="1"/>
    <col min="115" max="115" width="14.28515625" bestFit="1" customWidth="1"/>
    <col min="116" max="116" width="11.140625" bestFit="1" customWidth="1"/>
    <col min="117" max="117" width="14.28515625" bestFit="1" customWidth="1"/>
    <col min="118" max="118" width="11.140625" bestFit="1" customWidth="1"/>
    <col min="119" max="119" width="14.28515625" bestFit="1" customWidth="1"/>
    <col min="120" max="120" width="11.140625" bestFit="1" customWidth="1"/>
    <col min="121" max="121" width="14.28515625" bestFit="1" customWidth="1"/>
    <col min="122" max="122" width="11.140625" bestFit="1" customWidth="1"/>
    <col min="123" max="123" width="14.28515625" bestFit="1" customWidth="1"/>
    <col min="124" max="124" width="11.140625" bestFit="1" customWidth="1"/>
    <col min="125" max="125" width="14.28515625" bestFit="1" customWidth="1"/>
    <col min="126" max="127" width="10.140625" bestFit="1" customWidth="1"/>
    <col min="128" max="128" width="14.28515625" bestFit="1" customWidth="1"/>
    <col min="129" max="129" width="11.140625" bestFit="1" customWidth="1"/>
    <col min="130" max="130" width="14.28515625" bestFit="1" customWidth="1"/>
    <col min="131" max="131" width="11.140625" bestFit="1" customWidth="1"/>
    <col min="132" max="132" width="14.28515625" bestFit="1" customWidth="1"/>
    <col min="133" max="133" width="11.140625" bestFit="1" customWidth="1"/>
    <col min="134" max="134" width="14.28515625" bestFit="1" customWidth="1"/>
    <col min="135" max="135" width="11.140625" bestFit="1" customWidth="1"/>
    <col min="136" max="136" width="14.28515625" bestFit="1" customWidth="1"/>
    <col min="137" max="137" width="11.140625" bestFit="1" customWidth="1"/>
    <col min="138" max="138" width="14.28515625" bestFit="1" customWidth="1"/>
    <col min="139" max="139" width="11.140625" bestFit="1" customWidth="1"/>
    <col min="140" max="140" width="14.28515625" bestFit="1" customWidth="1"/>
    <col min="141" max="141" width="11.140625" bestFit="1" customWidth="1"/>
    <col min="142" max="142" width="14.28515625" bestFit="1" customWidth="1"/>
    <col min="143" max="143" width="11.140625" bestFit="1" customWidth="1"/>
    <col min="144" max="144" width="14.28515625" bestFit="1" customWidth="1"/>
    <col min="145" max="145" width="11.140625" bestFit="1" customWidth="1"/>
    <col min="146" max="146" width="14.28515625" bestFit="1" customWidth="1"/>
    <col min="147" max="147" width="11.140625" bestFit="1" customWidth="1"/>
    <col min="148" max="148" width="14.28515625" bestFit="1" customWidth="1"/>
    <col min="149" max="149" width="11.140625" bestFit="1" customWidth="1"/>
    <col min="150" max="150" width="14.28515625" bestFit="1" customWidth="1"/>
    <col min="151" max="151" width="11.140625" bestFit="1" customWidth="1"/>
    <col min="152" max="152" width="14.28515625" bestFit="1" customWidth="1"/>
    <col min="153" max="153" width="11.140625" bestFit="1" customWidth="1"/>
    <col min="154" max="154" width="14.28515625" bestFit="1" customWidth="1"/>
    <col min="155" max="155" width="11.140625" bestFit="1" customWidth="1"/>
    <col min="156" max="156" width="14.28515625" bestFit="1" customWidth="1"/>
    <col min="157" max="157" width="11.140625" bestFit="1" customWidth="1"/>
    <col min="158" max="158" width="14.28515625" bestFit="1" customWidth="1"/>
    <col min="159" max="159" width="11.140625" bestFit="1" customWidth="1"/>
    <col min="160" max="160" width="14.28515625" bestFit="1" customWidth="1"/>
    <col min="161" max="161" width="11.140625" bestFit="1" customWidth="1"/>
    <col min="162" max="162" width="14.28515625" bestFit="1" customWidth="1"/>
    <col min="163" max="163" width="12.140625" bestFit="1" customWidth="1"/>
    <col min="164" max="164" width="15.28515625" bestFit="1" customWidth="1"/>
    <col min="165" max="165" width="12.140625" bestFit="1" customWidth="1"/>
    <col min="166" max="166" width="15.28515625" bestFit="1" customWidth="1"/>
    <col min="167" max="167" width="12.140625" bestFit="1" customWidth="1"/>
    <col min="168" max="168" width="15.28515625" bestFit="1" customWidth="1"/>
    <col min="169" max="169" width="12.140625" bestFit="1" customWidth="1"/>
    <col min="170" max="170" width="15.28515625" bestFit="1" customWidth="1"/>
    <col min="171" max="171" width="12.140625" bestFit="1" customWidth="1"/>
    <col min="172" max="172" width="15.28515625" bestFit="1" customWidth="1"/>
    <col min="173" max="173" width="12.140625" bestFit="1" customWidth="1"/>
    <col min="174" max="174" width="15.28515625" bestFit="1" customWidth="1"/>
    <col min="175" max="175" width="12.140625" bestFit="1" customWidth="1"/>
    <col min="176" max="176" width="15.28515625" bestFit="1" customWidth="1"/>
    <col min="177" max="177" width="12.140625" bestFit="1" customWidth="1"/>
    <col min="178" max="178" width="15.28515625" bestFit="1" customWidth="1"/>
    <col min="179" max="179" width="12.140625" bestFit="1" customWidth="1"/>
    <col min="180" max="180" width="15.28515625" bestFit="1" customWidth="1"/>
    <col min="181" max="181" width="12.140625" bestFit="1" customWidth="1"/>
    <col min="182" max="182" width="15.28515625" bestFit="1" customWidth="1"/>
    <col min="183" max="183" width="12.140625" bestFit="1" customWidth="1"/>
    <col min="184" max="184" width="15.28515625" bestFit="1" customWidth="1"/>
    <col min="185" max="185" width="12.140625" bestFit="1" customWidth="1"/>
    <col min="186" max="186" width="15.28515625" bestFit="1" customWidth="1"/>
    <col min="187" max="187" width="12.140625" bestFit="1" customWidth="1"/>
    <col min="188" max="188" width="15.28515625" bestFit="1" customWidth="1"/>
    <col min="189" max="189" width="12.140625" bestFit="1" customWidth="1"/>
    <col min="190" max="190" width="15.28515625" bestFit="1" customWidth="1"/>
    <col min="191" max="191" width="12.140625" bestFit="1" customWidth="1"/>
    <col min="192" max="192" width="15.28515625" bestFit="1" customWidth="1"/>
    <col min="193" max="193" width="12.140625" bestFit="1" customWidth="1"/>
    <col min="194" max="194" width="15.28515625" bestFit="1" customWidth="1"/>
    <col min="195" max="195" width="12.140625" bestFit="1" customWidth="1"/>
    <col min="196" max="196" width="15.28515625" bestFit="1" customWidth="1"/>
    <col min="197" max="197" width="12.140625" bestFit="1" customWidth="1"/>
    <col min="198" max="198" width="15.28515625" bestFit="1" customWidth="1"/>
    <col min="199" max="199" width="12.140625" bestFit="1" customWidth="1"/>
    <col min="200" max="200" width="15.28515625" bestFit="1" customWidth="1"/>
    <col min="201" max="201" width="12.140625" bestFit="1" customWidth="1"/>
    <col min="202" max="202" width="15.28515625" bestFit="1" customWidth="1"/>
    <col min="203" max="203" width="12.140625" bestFit="1" customWidth="1"/>
    <col min="204" max="204" width="15.28515625" bestFit="1" customWidth="1"/>
    <col min="205" max="205" width="12.140625" bestFit="1" customWidth="1"/>
    <col min="206" max="206" width="15.28515625" bestFit="1" customWidth="1"/>
    <col min="207" max="207" width="12.140625" bestFit="1" customWidth="1"/>
    <col min="208" max="208" width="15.28515625" bestFit="1" customWidth="1"/>
    <col min="209" max="209" width="12.140625" bestFit="1" customWidth="1"/>
    <col min="210" max="210" width="15.28515625" bestFit="1" customWidth="1"/>
    <col min="211" max="212" width="10.85546875" bestFit="1" customWidth="1"/>
    <col min="213" max="213" width="15.28515625" bestFit="1" customWidth="1"/>
    <col min="214" max="214" width="12.140625" bestFit="1" customWidth="1"/>
    <col min="215" max="215" width="15.28515625" bestFit="1" customWidth="1"/>
    <col min="216" max="216" width="12.140625" bestFit="1" customWidth="1"/>
    <col min="217" max="217" width="15.28515625" bestFit="1" customWidth="1"/>
    <col min="218" max="218" width="12.140625" bestFit="1" customWidth="1"/>
    <col min="219" max="219" width="15.28515625" bestFit="1" customWidth="1"/>
    <col min="220" max="220" width="12.140625" bestFit="1" customWidth="1"/>
    <col min="221" max="221" width="15.28515625" bestFit="1" customWidth="1"/>
    <col min="222" max="222" width="12.140625" bestFit="1" customWidth="1"/>
    <col min="223" max="223" width="15.28515625" bestFit="1" customWidth="1"/>
    <col min="224" max="224" width="12.140625" bestFit="1" customWidth="1"/>
    <col min="225" max="225" width="15.28515625" bestFit="1" customWidth="1"/>
    <col min="226" max="226" width="12.140625" bestFit="1" customWidth="1"/>
    <col min="227" max="227" width="15.28515625" bestFit="1" customWidth="1"/>
    <col min="228" max="228" width="12.140625" bestFit="1" customWidth="1"/>
    <col min="229" max="229" width="15.28515625" bestFit="1" customWidth="1"/>
    <col min="230" max="230" width="12.140625" bestFit="1" customWidth="1"/>
    <col min="231" max="231" width="15.28515625" bestFit="1" customWidth="1"/>
    <col min="232" max="232" width="12.140625" bestFit="1" customWidth="1"/>
    <col min="233" max="233" width="15.28515625" bestFit="1" customWidth="1"/>
    <col min="234" max="234" width="12.140625" bestFit="1" customWidth="1"/>
    <col min="235" max="235" width="15.28515625" bestFit="1" customWidth="1"/>
    <col min="236" max="236" width="12.140625" bestFit="1" customWidth="1"/>
    <col min="237" max="237" width="15.28515625" bestFit="1" customWidth="1"/>
    <col min="238" max="238" width="12.140625" bestFit="1" customWidth="1"/>
    <col min="239" max="239" width="15.28515625" bestFit="1" customWidth="1"/>
    <col min="240" max="240" width="12.140625" bestFit="1" customWidth="1"/>
    <col min="241" max="241" width="15.28515625" bestFit="1" customWidth="1"/>
    <col min="242" max="242" width="12.140625" bestFit="1" customWidth="1"/>
    <col min="243" max="243" width="15.28515625" bestFit="1" customWidth="1"/>
    <col min="244" max="244" width="12.140625" bestFit="1" customWidth="1"/>
    <col min="245" max="245" width="15.28515625" bestFit="1" customWidth="1"/>
    <col min="246" max="246" width="12.140625" bestFit="1" customWidth="1"/>
    <col min="247" max="247" width="15.28515625" bestFit="1" customWidth="1"/>
    <col min="248" max="248" width="12.140625" bestFit="1" customWidth="1"/>
    <col min="249" max="249" width="15.28515625" bestFit="1" customWidth="1"/>
    <col min="250" max="250" width="12.140625" bestFit="1" customWidth="1"/>
    <col min="251" max="251" width="15.28515625" bestFit="1" customWidth="1"/>
    <col min="252" max="252" width="12.140625" bestFit="1" customWidth="1"/>
    <col min="253" max="253" width="15.28515625" bestFit="1" customWidth="1"/>
    <col min="254" max="254" width="12.140625" bestFit="1" customWidth="1"/>
    <col min="255" max="255" width="15.28515625" bestFit="1" customWidth="1"/>
    <col min="256" max="256" width="12.140625" bestFit="1" customWidth="1"/>
    <col min="257" max="257" width="15.28515625" bestFit="1" customWidth="1"/>
    <col min="258" max="258" width="12.140625" bestFit="1" customWidth="1"/>
    <col min="259" max="259" width="15.28515625" bestFit="1" customWidth="1"/>
    <col min="260" max="260" width="12.140625" bestFit="1" customWidth="1"/>
    <col min="261" max="261" width="15.28515625" bestFit="1" customWidth="1"/>
    <col min="262" max="262" width="12.140625" bestFit="1" customWidth="1"/>
    <col min="263" max="263" width="15.28515625" bestFit="1" customWidth="1"/>
    <col min="264" max="264" width="12.140625" bestFit="1" customWidth="1"/>
    <col min="265" max="265" width="15.28515625" bestFit="1" customWidth="1"/>
    <col min="266" max="266" width="12.140625" bestFit="1" customWidth="1"/>
    <col min="267" max="267" width="15.28515625" bestFit="1" customWidth="1"/>
    <col min="268" max="268" width="12.140625" bestFit="1" customWidth="1"/>
    <col min="269" max="269" width="15.28515625" bestFit="1" customWidth="1"/>
    <col min="270" max="270" width="12.140625" bestFit="1" customWidth="1"/>
    <col min="271" max="271" width="15.28515625" bestFit="1" customWidth="1"/>
    <col min="272" max="272" width="12.140625" bestFit="1" customWidth="1"/>
    <col min="273" max="273" width="15.28515625" bestFit="1" customWidth="1"/>
    <col min="274" max="274" width="12.140625" bestFit="1" customWidth="1"/>
    <col min="275" max="275" width="15.28515625" bestFit="1" customWidth="1"/>
    <col min="276" max="276" width="12.140625" bestFit="1" customWidth="1"/>
    <col min="277" max="277" width="15.28515625" bestFit="1" customWidth="1"/>
    <col min="278" max="278" width="12.140625" bestFit="1" customWidth="1"/>
    <col min="279" max="279" width="15.28515625" bestFit="1" customWidth="1"/>
    <col min="280" max="280" width="12.140625" bestFit="1" customWidth="1"/>
    <col min="281" max="281" width="15.28515625" bestFit="1" customWidth="1"/>
    <col min="282" max="282" width="12.140625" bestFit="1" customWidth="1"/>
    <col min="283" max="283" width="15.28515625" bestFit="1" customWidth="1"/>
    <col min="284" max="284" width="12.140625" bestFit="1" customWidth="1"/>
    <col min="285" max="285" width="15.28515625" bestFit="1" customWidth="1"/>
    <col min="286" max="286" width="12.140625" bestFit="1" customWidth="1"/>
    <col min="287" max="287" width="15.28515625" bestFit="1" customWidth="1"/>
    <col min="288" max="288" width="12.140625" bestFit="1" customWidth="1"/>
    <col min="289" max="289" width="15.28515625" bestFit="1" customWidth="1"/>
    <col min="290" max="290" width="12.140625" bestFit="1" customWidth="1"/>
    <col min="291" max="291" width="15.28515625" bestFit="1" customWidth="1"/>
    <col min="292" max="292" width="12.140625" bestFit="1" customWidth="1"/>
    <col min="293" max="293" width="15.28515625" bestFit="1" customWidth="1"/>
    <col min="294" max="294" width="12.140625" bestFit="1" customWidth="1"/>
    <col min="295" max="295" width="15.28515625" bestFit="1" customWidth="1"/>
    <col min="296" max="296" width="12.140625" bestFit="1" customWidth="1"/>
    <col min="297" max="297" width="15.28515625" bestFit="1" customWidth="1"/>
    <col min="298" max="298" width="12.140625" bestFit="1" customWidth="1"/>
    <col min="299" max="299" width="15.28515625" bestFit="1" customWidth="1"/>
    <col min="300" max="300" width="12.140625" bestFit="1" customWidth="1"/>
    <col min="301" max="301" width="15.28515625" bestFit="1" customWidth="1"/>
    <col min="302" max="302" width="12.140625" bestFit="1" customWidth="1"/>
    <col min="303" max="303" width="15.28515625" bestFit="1" customWidth="1"/>
    <col min="304" max="304" width="12.140625" bestFit="1" customWidth="1"/>
    <col min="305" max="305" width="15.28515625" bestFit="1" customWidth="1"/>
    <col min="306" max="306" width="12.140625" bestFit="1" customWidth="1"/>
    <col min="307" max="307" width="15.28515625" bestFit="1" customWidth="1"/>
    <col min="308" max="308" width="12.140625" bestFit="1" customWidth="1"/>
    <col min="309" max="309" width="15.28515625" bestFit="1" customWidth="1"/>
    <col min="310" max="310" width="12.140625" bestFit="1" customWidth="1"/>
    <col min="311" max="311" width="15.28515625" bestFit="1" customWidth="1"/>
    <col min="312" max="312" width="12.140625" bestFit="1" customWidth="1"/>
    <col min="313" max="313" width="15.28515625" bestFit="1" customWidth="1"/>
    <col min="314" max="314" width="12.140625" bestFit="1" customWidth="1"/>
    <col min="315" max="315" width="15.28515625" bestFit="1" customWidth="1"/>
    <col min="316" max="316" width="12.140625" bestFit="1" customWidth="1"/>
    <col min="317" max="317" width="15.28515625" bestFit="1" customWidth="1"/>
    <col min="318" max="318" width="12.140625" bestFit="1" customWidth="1"/>
    <col min="319" max="319" width="15.28515625" bestFit="1" customWidth="1"/>
    <col min="320" max="320" width="12.140625" bestFit="1" customWidth="1"/>
    <col min="321" max="321" width="15.28515625" bestFit="1" customWidth="1"/>
    <col min="322" max="322" width="12.140625" bestFit="1" customWidth="1"/>
    <col min="323" max="323" width="15.28515625" bestFit="1" customWidth="1"/>
    <col min="324" max="324" width="12.140625" bestFit="1" customWidth="1"/>
    <col min="325" max="325" width="15.28515625" bestFit="1" customWidth="1"/>
    <col min="326" max="326" width="12.140625" bestFit="1" customWidth="1"/>
    <col min="327" max="327" width="15.28515625" bestFit="1" customWidth="1"/>
    <col min="328" max="328" width="12.140625" bestFit="1" customWidth="1"/>
    <col min="329" max="329" width="15.28515625" bestFit="1" customWidth="1"/>
    <col min="330" max="330" width="12.140625" bestFit="1" customWidth="1"/>
    <col min="331" max="331" width="15.28515625" bestFit="1" customWidth="1"/>
    <col min="332" max="332" width="12.140625" bestFit="1" customWidth="1"/>
    <col min="333" max="333" width="15.28515625" bestFit="1" customWidth="1"/>
    <col min="334" max="334" width="12.140625" bestFit="1" customWidth="1"/>
    <col min="335" max="335" width="15.28515625" bestFit="1" customWidth="1"/>
    <col min="336" max="336" width="12.140625" bestFit="1" customWidth="1"/>
    <col min="337" max="337" width="15.28515625" bestFit="1" customWidth="1"/>
    <col min="338" max="338" width="12.140625" bestFit="1" customWidth="1"/>
    <col min="339" max="339" width="15.28515625" bestFit="1" customWidth="1"/>
    <col min="340" max="340" width="12.140625" bestFit="1" customWidth="1"/>
    <col min="341" max="341" width="15.28515625" bestFit="1" customWidth="1"/>
    <col min="342" max="342" width="12.140625" bestFit="1" customWidth="1"/>
    <col min="343" max="343" width="15.28515625" bestFit="1" customWidth="1"/>
    <col min="344" max="344" width="12.140625" bestFit="1" customWidth="1"/>
    <col min="345" max="345" width="15.28515625" bestFit="1" customWidth="1"/>
    <col min="346" max="346" width="12.140625" bestFit="1" customWidth="1"/>
    <col min="347" max="347" width="15.28515625" bestFit="1" customWidth="1"/>
    <col min="348" max="348" width="12.140625" bestFit="1" customWidth="1"/>
    <col min="349" max="349" width="15.28515625" bestFit="1" customWidth="1"/>
    <col min="350" max="350" width="12.140625" bestFit="1" customWidth="1"/>
    <col min="351" max="351" width="15.28515625" bestFit="1" customWidth="1"/>
    <col min="352" max="352" width="12.140625" bestFit="1" customWidth="1"/>
    <col min="353" max="353" width="15.28515625" bestFit="1" customWidth="1"/>
    <col min="354" max="354" width="12.140625" bestFit="1" customWidth="1"/>
    <col min="355" max="355" width="15.28515625" bestFit="1" customWidth="1"/>
    <col min="356" max="356" width="12.140625" bestFit="1" customWidth="1"/>
    <col min="357" max="357" width="15.28515625" bestFit="1" customWidth="1"/>
    <col min="358" max="358" width="12.140625" bestFit="1" customWidth="1"/>
    <col min="359" max="359" width="15.28515625" bestFit="1" customWidth="1"/>
    <col min="360" max="360" width="12.140625" bestFit="1" customWidth="1"/>
    <col min="361" max="361" width="15.28515625" bestFit="1" customWidth="1"/>
    <col min="362" max="362" width="12.140625" bestFit="1" customWidth="1"/>
    <col min="363" max="363" width="15.28515625" bestFit="1" customWidth="1"/>
    <col min="364" max="364" width="12.140625" bestFit="1" customWidth="1"/>
    <col min="365" max="365" width="15.28515625" bestFit="1" customWidth="1"/>
    <col min="366" max="366" width="12.140625" bestFit="1" customWidth="1"/>
    <col min="367" max="367" width="15.28515625" bestFit="1" customWidth="1"/>
    <col min="368" max="368" width="12.140625" bestFit="1" customWidth="1"/>
    <col min="369" max="369" width="15.28515625" bestFit="1" customWidth="1"/>
    <col min="370" max="370" width="11.28515625" bestFit="1" customWidth="1"/>
  </cols>
  <sheetData>
    <row r="3" spans="1:2" x14ac:dyDescent="0.25">
      <c r="A3" s="8" t="s">
        <v>437</v>
      </c>
      <c r="B3" t="s">
        <v>447</v>
      </c>
    </row>
    <row r="4" spans="1:2" x14ac:dyDescent="0.25">
      <c r="A4" s="9" t="s">
        <v>50</v>
      </c>
      <c r="B4" s="10">
        <v>360577</v>
      </c>
    </row>
    <row r="5" spans="1:2" x14ac:dyDescent="0.25">
      <c r="A5" s="9" t="s">
        <v>44</v>
      </c>
      <c r="B5" s="10">
        <v>205698</v>
      </c>
    </row>
    <row r="6" spans="1:2" x14ac:dyDescent="0.25">
      <c r="A6" s="9" t="s">
        <v>60</v>
      </c>
      <c r="B6" s="10">
        <v>644696</v>
      </c>
    </row>
    <row r="7" spans="1:2" x14ac:dyDescent="0.25">
      <c r="A7" s="9" t="s">
        <v>29</v>
      </c>
      <c r="B7" s="10">
        <v>544905</v>
      </c>
    </row>
    <row r="8" spans="1:2" x14ac:dyDescent="0.25">
      <c r="A8" s="9" t="s">
        <v>38</v>
      </c>
      <c r="B8" s="10">
        <v>265809</v>
      </c>
    </row>
    <row r="9" spans="1:2" x14ac:dyDescent="0.25">
      <c r="A9" s="9" t="s">
        <v>19</v>
      </c>
      <c r="B9" s="10">
        <v>2497059</v>
      </c>
    </row>
    <row r="10" spans="1:2" x14ac:dyDescent="0.25">
      <c r="A10" s="9" t="s">
        <v>445</v>
      </c>
      <c r="B10" s="10">
        <v>4518744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65A56-228E-4009-B3F7-398F83226029}">
  <dimension ref="A3:B6"/>
  <sheetViews>
    <sheetView workbookViewId="0">
      <selection activeCell="G21" sqref="G21"/>
    </sheetView>
  </sheetViews>
  <sheetFormatPr defaultRowHeight="15" x14ac:dyDescent="0.25"/>
  <cols>
    <col min="1" max="1" width="13.140625" bestFit="1" customWidth="1"/>
    <col min="2" max="2" width="18.7109375" bestFit="1" customWidth="1"/>
  </cols>
  <sheetData>
    <row r="3" spans="1:2" x14ac:dyDescent="0.25">
      <c r="A3" s="8" t="s">
        <v>437</v>
      </c>
      <c r="B3" t="s">
        <v>438</v>
      </c>
    </row>
    <row r="4" spans="1:2" x14ac:dyDescent="0.25">
      <c r="A4" s="9" t="s">
        <v>24</v>
      </c>
      <c r="B4" s="10">
        <v>24169958</v>
      </c>
    </row>
    <row r="5" spans="1:2" x14ac:dyDescent="0.25">
      <c r="A5" s="9" t="s">
        <v>34</v>
      </c>
      <c r="B5" s="10">
        <v>3971576</v>
      </c>
    </row>
    <row r="6" spans="1:2" x14ac:dyDescent="0.25">
      <c r="A6" s="9" t="s">
        <v>58</v>
      </c>
      <c r="B6" s="10">
        <v>2047300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43D55-365D-4E54-A798-2AAFB2C786F1}">
  <dimension ref="A1"/>
  <sheetViews>
    <sheetView showGridLines="0" showRowColHeaders="0" zoomScale="62" zoomScaleNormal="62" workbookViewId="0">
      <selection activeCell="A63" sqref="A6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F8B53-310A-49BE-AD6C-57EC10A172B8}">
  <dimension ref="A1:S301"/>
  <sheetViews>
    <sheetView tabSelected="1" workbookViewId="0">
      <pane ySplit="1" topLeftCell="A2" activePane="bottomLeft" state="frozen"/>
      <selection pane="bottomLeft" activeCell="B9" sqref="B9"/>
    </sheetView>
  </sheetViews>
  <sheetFormatPr defaultRowHeight="15" x14ac:dyDescent="0.25"/>
  <cols>
    <col min="1" max="1" width="12" customWidth="1"/>
    <col min="2" max="2" width="18.7109375" customWidth="1"/>
    <col min="3" max="3" width="16.42578125" customWidth="1"/>
    <col min="4" max="4" width="13.85546875" customWidth="1"/>
    <col min="5" max="5" width="12.5703125" customWidth="1"/>
    <col min="6" max="6" width="18.7109375" customWidth="1"/>
    <col min="7" max="7" width="33.28515625" customWidth="1"/>
    <col min="8" max="8" width="19.7109375" customWidth="1"/>
    <col min="9" max="9" width="11.5703125" customWidth="1"/>
    <col min="10" max="10" width="20.85546875" customWidth="1"/>
    <col min="11" max="11" width="14.140625" customWidth="1"/>
    <col min="12" max="12" width="13.28515625" customWidth="1"/>
    <col min="13" max="13" width="18.7109375" customWidth="1"/>
    <col min="14" max="14" width="16.42578125" customWidth="1"/>
    <col min="15" max="15" width="11.5703125" customWidth="1"/>
    <col min="16" max="16" width="11.28515625" customWidth="1"/>
    <col min="17" max="17" width="14.85546875" customWidth="1"/>
    <col min="18" max="18" width="16" customWidth="1"/>
    <col min="19" max="19" width="35.7109375" bestFit="1"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S1" s="6" t="s">
        <v>436</v>
      </c>
    </row>
    <row r="2" spans="1:19" x14ac:dyDescent="0.25">
      <c r="A2" s="2" t="s">
        <v>17</v>
      </c>
      <c r="B2" s="5">
        <v>46023</v>
      </c>
      <c r="C2" s="2" t="s">
        <v>18</v>
      </c>
      <c r="D2" s="2" t="s">
        <v>19</v>
      </c>
      <c r="E2" s="2">
        <v>4001</v>
      </c>
      <c r="F2" s="2" t="s">
        <v>20</v>
      </c>
      <c r="G2" s="2" t="s">
        <v>21</v>
      </c>
      <c r="H2" s="2" t="s">
        <v>22</v>
      </c>
      <c r="I2" s="2" t="s">
        <v>23</v>
      </c>
      <c r="J2" s="2" t="s">
        <v>24</v>
      </c>
      <c r="K2" s="3">
        <v>220000</v>
      </c>
      <c r="L2" s="4">
        <v>0.18</v>
      </c>
      <c r="M2" s="3">
        <v>39600</v>
      </c>
      <c r="N2" s="3">
        <v>259600</v>
      </c>
      <c r="O2" s="2" t="s">
        <v>25</v>
      </c>
      <c r="P2" s="2" t="s">
        <v>26</v>
      </c>
      <c r="Q2" s="2" t="s">
        <v>27</v>
      </c>
      <c r="S2" s="7" t="s">
        <v>416</v>
      </c>
    </row>
    <row r="3" spans="1:19" x14ac:dyDescent="0.25">
      <c r="A3" s="2" t="s">
        <v>28</v>
      </c>
      <c r="B3" s="5">
        <v>46024</v>
      </c>
      <c r="C3" s="2" t="s">
        <v>18</v>
      </c>
      <c r="D3" s="2" t="s">
        <v>38</v>
      </c>
      <c r="E3" s="2">
        <v>5201</v>
      </c>
      <c r="F3" s="2" t="s">
        <v>39</v>
      </c>
      <c r="G3" s="2" t="s">
        <v>40</v>
      </c>
      <c r="H3" s="2" t="s">
        <v>41</v>
      </c>
      <c r="I3" s="2" t="s">
        <v>33</v>
      </c>
      <c r="J3" s="2" t="s">
        <v>24</v>
      </c>
      <c r="K3" s="3">
        <v>72800</v>
      </c>
      <c r="L3" s="4">
        <v>0.18</v>
      </c>
      <c r="M3" s="3">
        <v>13104</v>
      </c>
      <c r="N3" s="3">
        <v>85904</v>
      </c>
      <c r="O3" s="2" t="s">
        <v>25</v>
      </c>
      <c r="P3" s="2" t="s">
        <v>42</v>
      </c>
      <c r="Q3" s="2" t="s">
        <v>27</v>
      </c>
      <c r="S3" s="7" t="s">
        <v>417</v>
      </c>
    </row>
    <row r="4" spans="1:19" x14ac:dyDescent="0.25">
      <c r="A4" s="2" t="s">
        <v>37</v>
      </c>
      <c r="B4" s="5">
        <v>46025</v>
      </c>
      <c r="C4" s="2" t="s">
        <v>18</v>
      </c>
      <c r="D4" s="2" t="s">
        <v>44</v>
      </c>
      <c r="E4" s="2">
        <v>5301</v>
      </c>
      <c r="F4" s="2" t="s">
        <v>45</v>
      </c>
      <c r="G4" s="2" t="s">
        <v>46</v>
      </c>
      <c r="H4" s="2" t="s">
        <v>47</v>
      </c>
      <c r="I4" s="2" t="s">
        <v>33</v>
      </c>
      <c r="J4" s="2" t="s">
        <v>24</v>
      </c>
      <c r="K4" s="3">
        <v>28200</v>
      </c>
      <c r="L4" s="4">
        <v>0.18</v>
      </c>
      <c r="M4" s="3">
        <v>5076</v>
      </c>
      <c r="N4" s="3">
        <v>33276</v>
      </c>
      <c r="O4" s="2" t="s">
        <v>25</v>
      </c>
      <c r="P4" s="2" t="s">
        <v>26</v>
      </c>
      <c r="Q4" s="2" t="s">
        <v>36</v>
      </c>
      <c r="S4" s="7" t="s">
        <v>418</v>
      </c>
    </row>
    <row r="5" spans="1:19" x14ac:dyDescent="0.25">
      <c r="A5" s="2" t="s">
        <v>43</v>
      </c>
      <c r="B5" s="5">
        <v>46026</v>
      </c>
      <c r="C5" s="2" t="s">
        <v>18</v>
      </c>
      <c r="D5" s="2" t="s">
        <v>50</v>
      </c>
      <c r="E5" s="2">
        <v>5401</v>
      </c>
      <c r="F5" s="2" t="s">
        <v>51</v>
      </c>
      <c r="G5" s="2" t="s">
        <v>52</v>
      </c>
      <c r="H5" s="2" t="s">
        <v>53</v>
      </c>
      <c r="I5" s="2" t="s">
        <v>33</v>
      </c>
      <c r="J5" s="2" t="s">
        <v>24</v>
      </c>
      <c r="K5" s="3">
        <v>58200</v>
      </c>
      <c r="L5" s="4">
        <v>0.18</v>
      </c>
      <c r="M5" s="3">
        <v>10476</v>
      </c>
      <c r="N5" s="3">
        <v>68676</v>
      </c>
      <c r="O5" s="2" t="s">
        <v>48</v>
      </c>
      <c r="P5" s="2" t="s">
        <v>54</v>
      </c>
      <c r="Q5" s="2" t="s">
        <v>27</v>
      </c>
      <c r="S5" s="7" t="s">
        <v>419</v>
      </c>
    </row>
    <row r="6" spans="1:19" x14ac:dyDescent="0.25">
      <c r="A6" s="2" t="s">
        <v>49</v>
      </c>
      <c r="B6" s="5">
        <v>46027</v>
      </c>
      <c r="C6" s="2" t="s">
        <v>18</v>
      </c>
      <c r="D6" s="2" t="s">
        <v>60</v>
      </c>
      <c r="E6" s="2">
        <v>5501</v>
      </c>
      <c r="F6" s="2" t="s">
        <v>61</v>
      </c>
      <c r="G6" s="2" t="s">
        <v>62</v>
      </c>
      <c r="H6" s="2" t="s">
        <v>63</v>
      </c>
      <c r="I6" s="2" t="s">
        <v>33</v>
      </c>
      <c r="J6" s="2" t="s">
        <v>34</v>
      </c>
      <c r="K6" s="3">
        <v>72000</v>
      </c>
      <c r="L6" s="4">
        <v>0.18</v>
      </c>
      <c r="M6" s="3">
        <v>12960</v>
      </c>
      <c r="N6" s="3">
        <v>84960</v>
      </c>
      <c r="O6" s="2" t="s">
        <v>25</v>
      </c>
      <c r="P6" s="2" t="s">
        <v>42</v>
      </c>
      <c r="Q6" s="2" t="s">
        <v>27</v>
      </c>
      <c r="S6" s="7" t="s">
        <v>420</v>
      </c>
    </row>
    <row r="7" spans="1:19" x14ac:dyDescent="0.25">
      <c r="A7" s="2" t="s">
        <v>55</v>
      </c>
      <c r="B7" s="5">
        <v>46028</v>
      </c>
      <c r="C7" s="2" t="s">
        <v>18</v>
      </c>
      <c r="D7" s="2" t="s">
        <v>19</v>
      </c>
      <c r="E7" s="2">
        <v>4001</v>
      </c>
      <c r="F7" s="2" t="s">
        <v>20</v>
      </c>
      <c r="G7" s="2" t="s">
        <v>128</v>
      </c>
      <c r="H7" s="2" t="s">
        <v>129</v>
      </c>
      <c r="I7" s="2" t="s">
        <v>23</v>
      </c>
      <c r="J7" s="2" t="s">
        <v>24</v>
      </c>
      <c r="K7" s="3">
        <v>309000</v>
      </c>
      <c r="L7" s="4">
        <v>0.18</v>
      </c>
      <c r="M7" s="3">
        <v>55620</v>
      </c>
      <c r="N7" s="3">
        <v>364620</v>
      </c>
      <c r="O7" s="2" t="s">
        <v>25</v>
      </c>
      <c r="P7" s="2" t="s">
        <v>26</v>
      </c>
      <c r="Q7" s="2" t="s">
        <v>27</v>
      </c>
      <c r="S7" s="7" t="s">
        <v>421</v>
      </c>
    </row>
    <row r="8" spans="1:19" x14ac:dyDescent="0.25">
      <c r="A8" s="2" t="s">
        <v>59</v>
      </c>
      <c r="B8" s="5">
        <v>46029</v>
      </c>
      <c r="C8" s="2" t="s">
        <v>18</v>
      </c>
      <c r="D8" s="2" t="s">
        <v>29</v>
      </c>
      <c r="E8" s="2">
        <v>5103</v>
      </c>
      <c r="F8" s="2" t="s">
        <v>70</v>
      </c>
      <c r="G8" s="2" t="s">
        <v>71</v>
      </c>
      <c r="H8" s="2" t="s">
        <v>72</v>
      </c>
      <c r="I8" s="2" t="s">
        <v>33</v>
      </c>
      <c r="J8" s="2" t="s">
        <v>24</v>
      </c>
      <c r="K8" s="3">
        <v>95400</v>
      </c>
      <c r="L8" s="4">
        <v>0.18</v>
      </c>
      <c r="M8" s="3">
        <v>17172</v>
      </c>
      <c r="N8" s="3">
        <v>112572</v>
      </c>
      <c r="O8" s="2" t="s">
        <v>25</v>
      </c>
      <c r="P8" s="2" t="s">
        <v>54</v>
      </c>
      <c r="Q8" s="2" t="s">
        <v>27</v>
      </c>
      <c r="S8" s="7" t="s">
        <v>422</v>
      </c>
    </row>
    <row r="9" spans="1:19" x14ac:dyDescent="0.25">
      <c r="A9" s="2" t="s">
        <v>64</v>
      </c>
      <c r="B9" s="5">
        <v>46030</v>
      </c>
      <c r="C9" s="2" t="s">
        <v>18</v>
      </c>
      <c r="D9" s="2" t="s">
        <v>19</v>
      </c>
      <c r="E9" s="2">
        <v>4003</v>
      </c>
      <c r="F9" s="2" t="s">
        <v>20</v>
      </c>
      <c r="G9" s="2" t="s">
        <v>79</v>
      </c>
      <c r="H9" s="2" t="s">
        <v>80</v>
      </c>
      <c r="I9" s="2" t="s">
        <v>23</v>
      </c>
      <c r="J9" s="2" t="s">
        <v>24</v>
      </c>
      <c r="K9" s="3">
        <v>190750</v>
      </c>
      <c r="L9" s="4">
        <v>0.18</v>
      </c>
      <c r="M9" s="3">
        <v>34335</v>
      </c>
      <c r="N9" s="3">
        <v>225085</v>
      </c>
      <c r="O9" s="2" t="s">
        <v>48</v>
      </c>
      <c r="P9" s="2" t="s">
        <v>26</v>
      </c>
      <c r="Q9" s="2" t="s">
        <v>27</v>
      </c>
      <c r="S9" s="7" t="s">
        <v>423</v>
      </c>
    </row>
    <row r="10" spans="1:19" x14ac:dyDescent="0.25">
      <c r="A10" s="2" t="s">
        <v>69</v>
      </c>
      <c r="B10" s="5">
        <v>46031</v>
      </c>
      <c r="C10" s="2" t="s">
        <v>18</v>
      </c>
      <c r="D10" s="2" t="s">
        <v>60</v>
      </c>
      <c r="E10" s="2">
        <v>5502</v>
      </c>
      <c r="F10" s="2" t="s">
        <v>87</v>
      </c>
      <c r="G10" s="2" t="s">
        <v>88</v>
      </c>
      <c r="H10" s="2" t="s">
        <v>89</v>
      </c>
      <c r="I10" s="2" t="s">
        <v>33</v>
      </c>
      <c r="J10" s="2" t="s">
        <v>24</v>
      </c>
      <c r="K10" s="3">
        <v>168000</v>
      </c>
      <c r="L10" s="4">
        <v>0.18</v>
      </c>
      <c r="M10" s="3">
        <v>30240</v>
      </c>
      <c r="N10" s="3">
        <v>198240</v>
      </c>
      <c r="O10" s="2" t="s">
        <v>25</v>
      </c>
      <c r="P10" s="2" t="s">
        <v>54</v>
      </c>
      <c r="Q10" s="2" t="s">
        <v>27</v>
      </c>
      <c r="S10" s="7" t="s">
        <v>424</v>
      </c>
    </row>
    <row r="11" spans="1:19" x14ac:dyDescent="0.25">
      <c r="A11" s="2" t="s">
        <v>73</v>
      </c>
      <c r="B11" s="5">
        <v>46032</v>
      </c>
      <c r="C11" s="2" t="s">
        <v>18</v>
      </c>
      <c r="D11" s="2" t="s">
        <v>50</v>
      </c>
      <c r="E11" s="2">
        <v>5402</v>
      </c>
      <c r="F11" s="2" t="s">
        <v>95</v>
      </c>
      <c r="G11" s="2" t="s">
        <v>96</v>
      </c>
      <c r="H11" s="2" t="s">
        <v>97</v>
      </c>
      <c r="I11" s="2" t="s">
        <v>33</v>
      </c>
      <c r="J11" s="2" t="s">
        <v>24</v>
      </c>
      <c r="K11" s="3">
        <v>48400</v>
      </c>
      <c r="L11" s="4">
        <v>0.18</v>
      </c>
      <c r="M11" s="3">
        <v>8712</v>
      </c>
      <c r="N11" s="3">
        <v>57112</v>
      </c>
      <c r="O11" s="2" t="s">
        <v>25</v>
      </c>
      <c r="P11" s="2" t="s">
        <v>42</v>
      </c>
      <c r="Q11" s="2" t="s">
        <v>27</v>
      </c>
      <c r="S11" s="7" t="s">
        <v>425</v>
      </c>
    </row>
    <row r="12" spans="1:19" x14ac:dyDescent="0.25">
      <c r="A12" s="2" t="s">
        <v>77</v>
      </c>
      <c r="B12" s="5">
        <v>46033</v>
      </c>
      <c r="C12" s="2" t="s">
        <v>18</v>
      </c>
      <c r="D12" s="2" t="s">
        <v>19</v>
      </c>
      <c r="E12" s="2">
        <v>4003</v>
      </c>
      <c r="F12" s="2" t="s">
        <v>20</v>
      </c>
      <c r="G12" s="2" t="s">
        <v>92</v>
      </c>
      <c r="H12" s="2" t="s">
        <v>93</v>
      </c>
      <c r="I12" s="2" t="s">
        <v>23</v>
      </c>
      <c r="J12" s="2" t="s">
        <v>24</v>
      </c>
      <c r="K12" s="3">
        <v>86450</v>
      </c>
      <c r="L12" s="4">
        <v>0.18</v>
      </c>
      <c r="M12" s="3">
        <v>15561</v>
      </c>
      <c r="N12" s="3">
        <v>102011</v>
      </c>
      <c r="O12" s="2" t="s">
        <v>25</v>
      </c>
      <c r="P12" s="2" t="s">
        <v>35</v>
      </c>
      <c r="Q12" s="2" t="s">
        <v>36</v>
      </c>
      <c r="S12" s="7" t="s">
        <v>426</v>
      </c>
    </row>
    <row r="13" spans="1:19" x14ac:dyDescent="0.25">
      <c r="A13" s="2" t="s">
        <v>81</v>
      </c>
      <c r="B13" s="5">
        <v>46034</v>
      </c>
      <c r="C13" s="2" t="s">
        <v>18</v>
      </c>
      <c r="D13" s="2" t="s">
        <v>29</v>
      </c>
      <c r="E13" s="2">
        <v>5104</v>
      </c>
      <c r="F13" s="2" t="s">
        <v>112</v>
      </c>
      <c r="G13" s="2" t="s">
        <v>113</v>
      </c>
      <c r="H13" s="2" t="s">
        <v>114</v>
      </c>
      <c r="I13" s="2" t="s">
        <v>33</v>
      </c>
      <c r="J13" s="2" t="s">
        <v>24</v>
      </c>
      <c r="K13" s="3">
        <v>61100</v>
      </c>
      <c r="L13" s="4">
        <v>0.18</v>
      </c>
      <c r="M13" s="3">
        <v>10998</v>
      </c>
      <c r="N13" s="3">
        <v>72098</v>
      </c>
      <c r="O13" s="2" t="s">
        <v>48</v>
      </c>
      <c r="P13" s="2" t="s">
        <v>54</v>
      </c>
      <c r="Q13" s="2" t="s">
        <v>36</v>
      </c>
      <c r="S13" s="7" t="s">
        <v>427</v>
      </c>
    </row>
    <row r="14" spans="1:19" x14ac:dyDescent="0.25">
      <c r="A14" s="2" t="s">
        <v>85</v>
      </c>
      <c r="B14" s="5">
        <v>46035</v>
      </c>
      <c r="C14" s="2" t="s">
        <v>18</v>
      </c>
      <c r="D14" s="2" t="s">
        <v>60</v>
      </c>
      <c r="E14" s="2">
        <v>5501</v>
      </c>
      <c r="F14" s="2" t="s">
        <v>61</v>
      </c>
      <c r="G14" s="2" t="s">
        <v>117</v>
      </c>
      <c r="H14" s="2" t="s">
        <v>118</v>
      </c>
      <c r="I14" s="2" t="s">
        <v>33</v>
      </c>
      <c r="J14" s="2" t="s">
        <v>34</v>
      </c>
      <c r="K14" s="3">
        <v>69840</v>
      </c>
      <c r="L14" s="4">
        <v>0.18</v>
      </c>
      <c r="M14" s="3">
        <v>12571</v>
      </c>
      <c r="N14" s="3">
        <v>82411</v>
      </c>
      <c r="O14" s="2" t="s">
        <v>25</v>
      </c>
      <c r="P14" s="2" t="s">
        <v>35</v>
      </c>
      <c r="Q14" s="2" t="s">
        <v>27</v>
      </c>
      <c r="S14" s="7" t="s">
        <v>428</v>
      </c>
    </row>
    <row r="15" spans="1:19" x14ac:dyDescent="0.25">
      <c r="A15" s="2" t="s">
        <v>86</v>
      </c>
      <c r="B15" s="5">
        <v>46036</v>
      </c>
      <c r="C15" s="2" t="s">
        <v>18</v>
      </c>
      <c r="D15" s="2" t="s">
        <v>44</v>
      </c>
      <c r="E15" s="2">
        <v>5303</v>
      </c>
      <c r="F15" s="2" t="s">
        <v>120</v>
      </c>
      <c r="G15" s="2" t="s">
        <v>121</v>
      </c>
      <c r="H15" s="2" t="s">
        <v>122</v>
      </c>
      <c r="I15" s="2" t="s">
        <v>33</v>
      </c>
      <c r="J15" s="2" t="s">
        <v>34</v>
      </c>
      <c r="K15" s="3">
        <v>40000</v>
      </c>
      <c r="L15" s="4">
        <v>0.18</v>
      </c>
      <c r="M15" s="3">
        <v>7200</v>
      </c>
      <c r="N15" s="3">
        <v>47200</v>
      </c>
      <c r="O15" s="2" t="s">
        <v>25</v>
      </c>
      <c r="P15" s="2" t="s">
        <v>42</v>
      </c>
      <c r="Q15" s="2" t="s">
        <v>36</v>
      </c>
      <c r="S15" s="7" t="s">
        <v>429</v>
      </c>
    </row>
    <row r="16" spans="1:19" x14ac:dyDescent="0.25">
      <c r="A16" s="2" t="s">
        <v>90</v>
      </c>
      <c r="B16" s="5">
        <v>46037</v>
      </c>
      <c r="C16" s="2" t="s">
        <v>18</v>
      </c>
      <c r="D16" s="2" t="s">
        <v>19</v>
      </c>
      <c r="E16" s="2">
        <v>4002</v>
      </c>
      <c r="F16" s="2" t="s">
        <v>20</v>
      </c>
      <c r="G16" s="2" t="s">
        <v>109</v>
      </c>
      <c r="H16" s="2" t="s">
        <v>110</v>
      </c>
      <c r="I16" s="2" t="s">
        <v>23</v>
      </c>
      <c r="J16" s="2" t="s">
        <v>24</v>
      </c>
      <c r="K16" s="3">
        <v>216300</v>
      </c>
      <c r="L16" s="4">
        <v>0.18</v>
      </c>
      <c r="M16" s="3">
        <v>38934</v>
      </c>
      <c r="N16" s="3">
        <v>255234</v>
      </c>
      <c r="O16" s="2" t="s">
        <v>25</v>
      </c>
      <c r="P16" s="2" t="s">
        <v>42</v>
      </c>
      <c r="Q16" s="2" t="s">
        <v>27</v>
      </c>
      <c r="S16" s="7" t="s">
        <v>430</v>
      </c>
    </row>
    <row r="17" spans="1:19" x14ac:dyDescent="0.25">
      <c r="A17" s="2" t="s">
        <v>91</v>
      </c>
      <c r="B17" s="5">
        <v>46038</v>
      </c>
      <c r="C17" s="2" t="s">
        <v>18</v>
      </c>
      <c r="D17" s="2" t="s">
        <v>19</v>
      </c>
      <c r="E17" s="2">
        <v>4003</v>
      </c>
      <c r="F17" s="2" t="s">
        <v>20</v>
      </c>
      <c r="G17" s="2" t="s">
        <v>79</v>
      </c>
      <c r="H17" s="2" t="s">
        <v>80</v>
      </c>
      <c r="I17" s="2" t="s">
        <v>23</v>
      </c>
      <c r="J17" s="2" t="s">
        <v>24</v>
      </c>
      <c r="K17" s="3">
        <v>185500</v>
      </c>
      <c r="L17" s="4">
        <v>0.18</v>
      </c>
      <c r="M17" s="3">
        <v>33390</v>
      </c>
      <c r="N17" s="3">
        <v>218890</v>
      </c>
      <c r="O17" s="2" t="s">
        <v>48</v>
      </c>
      <c r="P17" s="2" t="s">
        <v>26</v>
      </c>
      <c r="Q17" s="2" t="s">
        <v>27</v>
      </c>
      <c r="S17" s="7" t="s">
        <v>431</v>
      </c>
    </row>
    <row r="18" spans="1:19" x14ac:dyDescent="0.25">
      <c r="A18" s="2" t="s">
        <v>94</v>
      </c>
      <c r="B18" s="5">
        <v>46039</v>
      </c>
      <c r="C18" s="2" t="s">
        <v>18</v>
      </c>
      <c r="D18" s="2" t="s">
        <v>29</v>
      </c>
      <c r="E18" s="2">
        <v>5105</v>
      </c>
      <c r="F18" s="2" t="s">
        <v>135</v>
      </c>
      <c r="G18" s="2" t="s">
        <v>136</v>
      </c>
      <c r="H18" s="2" t="s">
        <v>137</v>
      </c>
      <c r="I18" s="2" t="s">
        <v>33</v>
      </c>
      <c r="J18" s="2" t="s">
        <v>24</v>
      </c>
      <c r="K18" s="3">
        <v>54500</v>
      </c>
      <c r="L18" s="4">
        <v>0.18</v>
      </c>
      <c r="M18" s="3">
        <v>9810</v>
      </c>
      <c r="N18" s="3">
        <v>64310</v>
      </c>
      <c r="O18" s="2" t="s">
        <v>25</v>
      </c>
      <c r="P18" s="2" t="s">
        <v>42</v>
      </c>
      <c r="Q18" s="2" t="s">
        <v>36</v>
      </c>
      <c r="S18" s="7" t="s">
        <v>432</v>
      </c>
    </row>
    <row r="19" spans="1:19" x14ac:dyDescent="0.25">
      <c r="A19" s="2" t="s">
        <v>98</v>
      </c>
      <c r="B19" s="5">
        <v>46040</v>
      </c>
      <c r="C19" s="2" t="s">
        <v>18</v>
      </c>
      <c r="D19" s="2" t="s">
        <v>29</v>
      </c>
      <c r="E19" s="2">
        <v>5102</v>
      </c>
      <c r="F19" s="2" t="s">
        <v>30</v>
      </c>
      <c r="G19" s="2" t="s">
        <v>31</v>
      </c>
      <c r="H19" s="2" t="s">
        <v>32</v>
      </c>
      <c r="I19" s="2" t="s">
        <v>33</v>
      </c>
      <c r="J19" s="2" t="s">
        <v>34</v>
      </c>
      <c r="K19" s="3">
        <v>50400</v>
      </c>
      <c r="L19" s="4">
        <v>0.18</v>
      </c>
      <c r="M19" s="3">
        <v>9072</v>
      </c>
      <c r="N19" s="3">
        <v>59472</v>
      </c>
      <c r="O19" s="2" t="s">
        <v>25</v>
      </c>
      <c r="P19" s="2" t="s">
        <v>35</v>
      </c>
      <c r="Q19" s="2" t="s">
        <v>36</v>
      </c>
      <c r="S19" s="7" t="s">
        <v>433</v>
      </c>
    </row>
    <row r="20" spans="1:19" x14ac:dyDescent="0.25">
      <c r="A20" s="2" t="s">
        <v>102</v>
      </c>
      <c r="B20" s="5">
        <v>46041</v>
      </c>
      <c r="C20" s="2" t="s">
        <v>18</v>
      </c>
      <c r="D20" s="2" t="s">
        <v>38</v>
      </c>
      <c r="E20" s="2">
        <v>5201</v>
      </c>
      <c r="F20" s="2" t="s">
        <v>39</v>
      </c>
      <c r="G20" s="2" t="s">
        <v>40</v>
      </c>
      <c r="H20" s="2" t="s">
        <v>41</v>
      </c>
      <c r="I20" s="2" t="s">
        <v>33</v>
      </c>
      <c r="J20" s="2" t="s">
        <v>24</v>
      </c>
      <c r="K20" s="3">
        <v>70400</v>
      </c>
      <c r="L20" s="4">
        <v>0.18</v>
      </c>
      <c r="M20" s="3">
        <v>12672</v>
      </c>
      <c r="N20" s="3">
        <v>83072</v>
      </c>
      <c r="O20" s="2" t="s">
        <v>25</v>
      </c>
      <c r="P20" s="2" t="s">
        <v>42</v>
      </c>
      <c r="Q20" s="2" t="s">
        <v>27</v>
      </c>
      <c r="S20" s="7" t="s">
        <v>434</v>
      </c>
    </row>
    <row r="21" spans="1:19" x14ac:dyDescent="0.25">
      <c r="A21" s="2" t="s">
        <v>103</v>
      </c>
      <c r="B21" s="5">
        <v>46042</v>
      </c>
      <c r="C21" s="2" t="s">
        <v>18</v>
      </c>
      <c r="D21" s="2" t="s">
        <v>44</v>
      </c>
      <c r="E21" s="2">
        <v>5301</v>
      </c>
      <c r="F21" s="2" t="s">
        <v>45</v>
      </c>
      <c r="G21" s="2" t="s">
        <v>46</v>
      </c>
      <c r="H21" s="2" t="s">
        <v>47</v>
      </c>
      <c r="I21" s="2" t="s">
        <v>33</v>
      </c>
      <c r="J21" s="2" t="s">
        <v>24</v>
      </c>
      <c r="K21" s="3">
        <v>27300</v>
      </c>
      <c r="L21" s="4">
        <v>0.18</v>
      </c>
      <c r="M21" s="3">
        <v>4914</v>
      </c>
      <c r="N21" s="3">
        <v>32214</v>
      </c>
      <c r="O21" s="2" t="s">
        <v>48</v>
      </c>
      <c r="P21" s="2" t="s">
        <v>26</v>
      </c>
      <c r="Q21" s="2" t="s">
        <v>36</v>
      </c>
      <c r="S21" s="7" t="s">
        <v>435</v>
      </c>
    </row>
    <row r="22" spans="1:19" x14ac:dyDescent="0.25">
      <c r="A22" s="2" t="s">
        <v>107</v>
      </c>
      <c r="B22" s="5">
        <v>46043</v>
      </c>
      <c r="C22" s="2" t="s">
        <v>18</v>
      </c>
      <c r="D22" s="2" t="s">
        <v>50</v>
      </c>
      <c r="E22" s="2">
        <v>4102</v>
      </c>
      <c r="F22" s="2" t="s">
        <v>104</v>
      </c>
      <c r="G22" s="2" t="s">
        <v>105</v>
      </c>
      <c r="H22" s="2" t="s">
        <v>106</v>
      </c>
      <c r="I22" s="2" t="s">
        <v>23</v>
      </c>
      <c r="J22" s="2" t="s">
        <v>24</v>
      </c>
      <c r="K22" s="3">
        <v>11280</v>
      </c>
      <c r="L22" s="4">
        <v>0</v>
      </c>
      <c r="M22" s="3">
        <v>0</v>
      </c>
      <c r="N22" s="3">
        <v>11280</v>
      </c>
      <c r="O22" s="2" t="s">
        <v>25</v>
      </c>
      <c r="P22" s="2" t="s">
        <v>54</v>
      </c>
      <c r="Q22" s="2" t="s">
        <v>68</v>
      </c>
    </row>
    <row r="23" spans="1:19" x14ac:dyDescent="0.25">
      <c r="A23" s="2" t="s">
        <v>111</v>
      </c>
      <c r="B23" s="5">
        <v>46044</v>
      </c>
      <c r="C23" s="2" t="s">
        <v>18</v>
      </c>
      <c r="D23" s="2" t="s">
        <v>19</v>
      </c>
      <c r="E23" s="2">
        <v>4001</v>
      </c>
      <c r="F23" s="2" t="s">
        <v>20</v>
      </c>
      <c r="G23" s="2" t="s">
        <v>128</v>
      </c>
      <c r="H23" s="2" t="s">
        <v>129</v>
      </c>
      <c r="I23" s="2" t="s">
        <v>23</v>
      </c>
      <c r="J23" s="2" t="s">
        <v>24</v>
      </c>
      <c r="K23" s="3">
        <v>291000</v>
      </c>
      <c r="L23" s="4">
        <v>0.18</v>
      </c>
      <c r="M23" s="3">
        <v>52380</v>
      </c>
      <c r="N23" s="3">
        <v>343380</v>
      </c>
      <c r="O23" s="2" t="s">
        <v>25</v>
      </c>
      <c r="P23" s="2" t="s">
        <v>26</v>
      </c>
      <c r="Q23" s="2" t="s">
        <v>27</v>
      </c>
    </row>
    <row r="24" spans="1:19" x14ac:dyDescent="0.25">
      <c r="A24" s="2" t="s">
        <v>115</v>
      </c>
      <c r="B24" s="5">
        <v>46045</v>
      </c>
      <c r="C24" s="2" t="s">
        <v>18</v>
      </c>
      <c r="D24" s="2" t="s">
        <v>38</v>
      </c>
      <c r="E24" s="2">
        <v>5202</v>
      </c>
      <c r="F24" s="2" t="s">
        <v>65</v>
      </c>
      <c r="G24" s="2" t="s">
        <v>66</v>
      </c>
      <c r="H24" s="2" t="s">
        <v>67</v>
      </c>
      <c r="I24" s="2" t="s">
        <v>33</v>
      </c>
      <c r="J24" s="2" t="s">
        <v>58</v>
      </c>
      <c r="K24" s="3">
        <v>15000</v>
      </c>
      <c r="L24" s="4">
        <v>0.18</v>
      </c>
      <c r="M24" s="3">
        <v>2700</v>
      </c>
      <c r="N24" s="3">
        <v>17700</v>
      </c>
      <c r="O24" s="2" t="s">
        <v>25</v>
      </c>
      <c r="P24" s="2" t="s">
        <v>26</v>
      </c>
      <c r="Q24" s="2" t="s">
        <v>68</v>
      </c>
    </row>
    <row r="25" spans="1:19" x14ac:dyDescent="0.25">
      <c r="A25" s="2" t="s">
        <v>116</v>
      </c>
      <c r="B25" s="5">
        <v>46046</v>
      </c>
      <c r="C25" s="2" t="s">
        <v>18</v>
      </c>
      <c r="D25" s="2" t="s">
        <v>29</v>
      </c>
      <c r="E25" s="2">
        <v>5103</v>
      </c>
      <c r="F25" s="2" t="s">
        <v>70</v>
      </c>
      <c r="G25" s="2" t="s">
        <v>71</v>
      </c>
      <c r="H25" s="2" t="s">
        <v>72</v>
      </c>
      <c r="I25" s="2" t="s">
        <v>33</v>
      </c>
      <c r="J25" s="2" t="s">
        <v>24</v>
      </c>
      <c r="K25" s="3">
        <v>92700</v>
      </c>
      <c r="L25" s="4">
        <v>0.18</v>
      </c>
      <c r="M25" s="3">
        <v>16686</v>
      </c>
      <c r="N25" s="3">
        <v>109386</v>
      </c>
      <c r="O25" s="2" t="s">
        <v>48</v>
      </c>
      <c r="P25" s="2" t="s">
        <v>54</v>
      </c>
      <c r="Q25" s="2" t="s">
        <v>27</v>
      </c>
    </row>
    <row r="26" spans="1:19" x14ac:dyDescent="0.25">
      <c r="A26" s="2" t="s">
        <v>119</v>
      </c>
      <c r="B26" s="5">
        <v>46047</v>
      </c>
      <c r="C26" s="2" t="s">
        <v>18</v>
      </c>
      <c r="D26" s="2" t="s">
        <v>44</v>
      </c>
      <c r="E26" s="2">
        <v>5302</v>
      </c>
      <c r="F26" s="2" t="s">
        <v>82</v>
      </c>
      <c r="G26" s="2" t="s">
        <v>83</v>
      </c>
      <c r="H26" s="2" t="s">
        <v>84</v>
      </c>
      <c r="I26" s="2" t="s">
        <v>33</v>
      </c>
      <c r="J26" s="2" t="s">
        <v>34</v>
      </c>
      <c r="K26" s="3">
        <v>23320</v>
      </c>
      <c r="L26" s="4">
        <v>0.18</v>
      </c>
      <c r="M26" s="3">
        <v>4198</v>
      </c>
      <c r="N26" s="3">
        <v>27518</v>
      </c>
      <c r="O26" s="2" t="s">
        <v>25</v>
      </c>
      <c r="P26" s="2" t="s">
        <v>35</v>
      </c>
      <c r="Q26" s="2" t="s">
        <v>36</v>
      </c>
    </row>
    <row r="27" spans="1:19" x14ac:dyDescent="0.25">
      <c r="A27" s="2" t="s">
        <v>123</v>
      </c>
      <c r="B27" s="5">
        <v>46048</v>
      </c>
      <c r="C27" s="2" t="s">
        <v>18</v>
      </c>
      <c r="D27" s="2" t="s">
        <v>19</v>
      </c>
      <c r="E27" s="2">
        <v>4002</v>
      </c>
      <c r="F27" s="2" t="s">
        <v>20</v>
      </c>
      <c r="G27" s="2" t="s">
        <v>56</v>
      </c>
      <c r="H27" s="2" t="s">
        <v>57</v>
      </c>
      <c r="I27" s="2" t="s">
        <v>23</v>
      </c>
      <c r="J27" s="2" t="s">
        <v>58</v>
      </c>
      <c r="K27" s="3">
        <v>130800</v>
      </c>
      <c r="L27" s="4">
        <v>0.18</v>
      </c>
      <c r="M27" s="3">
        <v>23544</v>
      </c>
      <c r="N27" s="3">
        <v>154344</v>
      </c>
      <c r="O27" s="2" t="s">
        <v>25</v>
      </c>
      <c r="P27" s="2" t="s">
        <v>35</v>
      </c>
      <c r="Q27" s="2" t="s">
        <v>27</v>
      </c>
    </row>
    <row r="28" spans="1:19" x14ac:dyDescent="0.25">
      <c r="A28" s="2" t="s">
        <v>127</v>
      </c>
      <c r="B28" s="5">
        <v>46049</v>
      </c>
      <c r="C28" s="2" t="s">
        <v>18</v>
      </c>
      <c r="D28" s="2" t="s">
        <v>50</v>
      </c>
      <c r="E28" s="2">
        <v>5402</v>
      </c>
      <c r="F28" s="2" t="s">
        <v>95</v>
      </c>
      <c r="G28" s="2" t="s">
        <v>96</v>
      </c>
      <c r="H28" s="2" t="s">
        <v>97</v>
      </c>
      <c r="I28" s="2" t="s">
        <v>33</v>
      </c>
      <c r="J28" s="2" t="s">
        <v>24</v>
      </c>
      <c r="K28" s="3">
        <v>61600</v>
      </c>
      <c r="L28" s="4">
        <v>0.18</v>
      </c>
      <c r="M28" s="3">
        <v>11088</v>
      </c>
      <c r="N28" s="3">
        <v>72688</v>
      </c>
      <c r="O28" s="2" t="s">
        <v>25</v>
      </c>
      <c r="P28" s="2" t="s">
        <v>42</v>
      </c>
      <c r="Q28" s="2" t="s">
        <v>27</v>
      </c>
    </row>
    <row r="29" spans="1:19" x14ac:dyDescent="0.25">
      <c r="A29" s="2" t="s">
        <v>130</v>
      </c>
      <c r="B29" s="5">
        <v>46050</v>
      </c>
      <c r="C29" s="2" t="s">
        <v>18</v>
      </c>
      <c r="D29" s="2" t="s">
        <v>38</v>
      </c>
      <c r="E29" s="2">
        <v>5203</v>
      </c>
      <c r="F29" s="2" t="s">
        <v>99</v>
      </c>
      <c r="G29" s="2" t="s">
        <v>100</v>
      </c>
      <c r="H29" s="2" t="s">
        <v>101</v>
      </c>
      <c r="I29" s="2" t="s">
        <v>33</v>
      </c>
      <c r="J29" s="2" t="s">
        <v>34</v>
      </c>
      <c r="K29" s="3">
        <v>23760</v>
      </c>
      <c r="L29" s="4">
        <v>0.05</v>
      </c>
      <c r="M29" s="3">
        <v>1188</v>
      </c>
      <c r="N29" s="3">
        <v>24948</v>
      </c>
      <c r="O29" s="2" t="s">
        <v>48</v>
      </c>
      <c r="P29" s="2" t="s">
        <v>54</v>
      </c>
      <c r="Q29" s="2" t="s">
        <v>36</v>
      </c>
    </row>
    <row r="30" spans="1:19" x14ac:dyDescent="0.25">
      <c r="A30" s="2" t="s">
        <v>134</v>
      </c>
      <c r="B30" s="5">
        <v>46051</v>
      </c>
      <c r="C30" s="2" t="s">
        <v>18</v>
      </c>
      <c r="D30" s="2" t="s">
        <v>50</v>
      </c>
      <c r="E30" s="2">
        <v>4102</v>
      </c>
      <c r="F30" s="2" t="s">
        <v>104</v>
      </c>
      <c r="G30" s="2" t="s">
        <v>105</v>
      </c>
      <c r="H30" s="2" t="s">
        <v>106</v>
      </c>
      <c r="I30" s="2" t="s">
        <v>23</v>
      </c>
      <c r="J30" s="2" t="s">
        <v>24</v>
      </c>
      <c r="K30" s="3">
        <v>10920</v>
      </c>
      <c r="L30" s="4">
        <v>0</v>
      </c>
      <c r="M30" s="3">
        <v>0</v>
      </c>
      <c r="N30" s="3">
        <v>10920</v>
      </c>
      <c r="O30" s="2" t="s">
        <v>25</v>
      </c>
      <c r="P30" s="2" t="s">
        <v>54</v>
      </c>
      <c r="Q30" s="2" t="s">
        <v>68</v>
      </c>
    </row>
    <row r="31" spans="1:19" x14ac:dyDescent="0.25">
      <c r="A31" s="2" t="s">
        <v>138</v>
      </c>
      <c r="B31" s="5">
        <v>46052</v>
      </c>
      <c r="C31" s="2" t="s">
        <v>18</v>
      </c>
      <c r="D31" s="2" t="s">
        <v>60</v>
      </c>
      <c r="E31" s="2">
        <v>5501</v>
      </c>
      <c r="F31" s="2" t="s">
        <v>61</v>
      </c>
      <c r="G31" s="2" t="s">
        <v>117</v>
      </c>
      <c r="H31" s="2" t="s">
        <v>118</v>
      </c>
      <c r="I31" s="2" t="s">
        <v>33</v>
      </c>
      <c r="J31" s="2" t="s">
        <v>34</v>
      </c>
      <c r="K31" s="3">
        <v>67680</v>
      </c>
      <c r="L31" s="4">
        <v>0.18</v>
      </c>
      <c r="M31" s="3">
        <v>12182</v>
      </c>
      <c r="N31" s="3">
        <v>79862</v>
      </c>
      <c r="O31" s="2" t="s">
        <v>25</v>
      </c>
      <c r="P31" s="2" t="s">
        <v>35</v>
      </c>
      <c r="Q31" s="2" t="s">
        <v>27</v>
      </c>
    </row>
    <row r="32" spans="1:19" x14ac:dyDescent="0.25">
      <c r="A32" s="2" t="s">
        <v>139</v>
      </c>
      <c r="B32" s="5">
        <v>46053</v>
      </c>
      <c r="C32" s="2" t="s">
        <v>18</v>
      </c>
      <c r="D32" s="2" t="s">
        <v>19</v>
      </c>
      <c r="E32" s="2">
        <v>4002</v>
      </c>
      <c r="F32" s="2" t="s">
        <v>20</v>
      </c>
      <c r="G32" s="2" t="s">
        <v>109</v>
      </c>
      <c r="H32" s="2" t="s">
        <v>110</v>
      </c>
      <c r="I32" s="2" t="s">
        <v>23</v>
      </c>
      <c r="J32" s="2" t="s">
        <v>24</v>
      </c>
      <c r="K32" s="3">
        <v>203700</v>
      </c>
      <c r="L32" s="4">
        <v>0.18</v>
      </c>
      <c r="M32" s="3">
        <v>36666</v>
      </c>
      <c r="N32" s="3">
        <v>240366</v>
      </c>
      <c r="O32" s="2" t="s">
        <v>25</v>
      </c>
      <c r="P32" s="2" t="s">
        <v>42</v>
      </c>
      <c r="Q32" s="2" t="s">
        <v>27</v>
      </c>
    </row>
    <row r="33" spans="1:17" x14ac:dyDescent="0.25">
      <c r="A33" s="2" t="s">
        <v>140</v>
      </c>
      <c r="B33" s="5">
        <v>46054</v>
      </c>
      <c r="C33" s="2" t="s">
        <v>78</v>
      </c>
      <c r="D33" s="2" t="s">
        <v>50</v>
      </c>
      <c r="E33" s="2">
        <v>5403</v>
      </c>
      <c r="F33" s="2" t="s">
        <v>124</v>
      </c>
      <c r="G33" s="2" t="s">
        <v>125</v>
      </c>
      <c r="H33" s="2" t="s">
        <v>126</v>
      </c>
      <c r="I33" s="2" t="s">
        <v>33</v>
      </c>
      <c r="J33" s="2" t="s">
        <v>24</v>
      </c>
      <c r="K33" s="3">
        <v>47000</v>
      </c>
      <c r="L33" s="4">
        <v>0.18</v>
      </c>
      <c r="M33" s="3">
        <v>8460</v>
      </c>
      <c r="N33" s="3">
        <v>55460</v>
      </c>
      <c r="O33" s="2" t="s">
        <v>48</v>
      </c>
      <c r="P33" s="2" t="s">
        <v>54</v>
      </c>
      <c r="Q33" s="2" t="s">
        <v>27</v>
      </c>
    </row>
    <row r="34" spans="1:17" x14ac:dyDescent="0.25">
      <c r="A34" s="2" t="s">
        <v>141</v>
      </c>
      <c r="B34" s="5">
        <v>46055</v>
      </c>
      <c r="C34" s="2" t="s">
        <v>78</v>
      </c>
      <c r="D34" s="2" t="s">
        <v>38</v>
      </c>
      <c r="E34" s="2">
        <v>5204</v>
      </c>
      <c r="F34" s="2" t="s">
        <v>131</v>
      </c>
      <c r="G34" s="2" t="s">
        <v>132</v>
      </c>
      <c r="H34" s="2" t="s">
        <v>133</v>
      </c>
      <c r="I34" s="2" t="s">
        <v>33</v>
      </c>
      <c r="J34" s="2" t="s">
        <v>58</v>
      </c>
      <c r="K34" s="3">
        <v>25750</v>
      </c>
      <c r="L34" s="4">
        <v>0.18</v>
      </c>
      <c r="M34" s="3">
        <v>4635</v>
      </c>
      <c r="N34" s="3">
        <v>30385</v>
      </c>
      <c r="O34" s="2" t="s">
        <v>25</v>
      </c>
      <c r="P34" s="2" t="s">
        <v>35</v>
      </c>
      <c r="Q34" s="2" t="s">
        <v>68</v>
      </c>
    </row>
    <row r="35" spans="1:17" x14ac:dyDescent="0.25">
      <c r="A35" s="2" t="s">
        <v>142</v>
      </c>
      <c r="B35" s="5">
        <v>46056</v>
      </c>
      <c r="C35" s="2" t="s">
        <v>78</v>
      </c>
      <c r="D35" s="2" t="s">
        <v>29</v>
      </c>
      <c r="E35" s="2">
        <v>5105</v>
      </c>
      <c r="F35" s="2" t="s">
        <v>135</v>
      </c>
      <c r="G35" s="2" t="s">
        <v>136</v>
      </c>
      <c r="H35" s="2" t="s">
        <v>137</v>
      </c>
      <c r="I35" s="2" t="s">
        <v>33</v>
      </c>
      <c r="J35" s="2" t="s">
        <v>24</v>
      </c>
      <c r="K35" s="3">
        <v>53000</v>
      </c>
      <c r="L35" s="4">
        <v>0.18</v>
      </c>
      <c r="M35" s="3">
        <v>9540</v>
      </c>
      <c r="N35" s="3">
        <v>62540</v>
      </c>
      <c r="O35" s="2" t="s">
        <v>25</v>
      </c>
      <c r="P35" s="2" t="s">
        <v>42</v>
      </c>
      <c r="Q35" s="2" t="s">
        <v>36</v>
      </c>
    </row>
    <row r="36" spans="1:17" x14ac:dyDescent="0.25">
      <c r="A36" s="2" t="s">
        <v>143</v>
      </c>
      <c r="B36" s="5">
        <v>46057</v>
      </c>
      <c r="C36" s="2" t="s">
        <v>78</v>
      </c>
      <c r="D36" s="2" t="s">
        <v>29</v>
      </c>
      <c r="E36" s="2">
        <v>5102</v>
      </c>
      <c r="F36" s="2" t="s">
        <v>30</v>
      </c>
      <c r="G36" s="2" t="s">
        <v>31</v>
      </c>
      <c r="H36" s="2" t="s">
        <v>32</v>
      </c>
      <c r="I36" s="2" t="s">
        <v>33</v>
      </c>
      <c r="J36" s="2" t="s">
        <v>34</v>
      </c>
      <c r="K36" s="3">
        <v>49050</v>
      </c>
      <c r="L36" s="4">
        <v>0.18</v>
      </c>
      <c r="M36" s="3">
        <v>8829</v>
      </c>
      <c r="N36" s="3">
        <v>57879</v>
      </c>
      <c r="O36" s="2" t="s">
        <v>25</v>
      </c>
      <c r="P36" s="2" t="s">
        <v>35</v>
      </c>
      <c r="Q36" s="2" t="s">
        <v>36</v>
      </c>
    </row>
    <row r="37" spans="1:17" x14ac:dyDescent="0.25">
      <c r="A37" s="2" t="s">
        <v>144</v>
      </c>
      <c r="B37" s="5">
        <v>46058</v>
      </c>
      <c r="C37" s="2" t="s">
        <v>78</v>
      </c>
      <c r="D37" s="2" t="s">
        <v>50</v>
      </c>
      <c r="E37" s="2">
        <v>4101</v>
      </c>
      <c r="F37" s="2" t="s">
        <v>74</v>
      </c>
      <c r="G37" s="2" t="s">
        <v>75</v>
      </c>
      <c r="H37" s="2" t="s">
        <v>76</v>
      </c>
      <c r="I37" s="2" t="s">
        <v>23</v>
      </c>
      <c r="J37" s="2" t="s">
        <v>24</v>
      </c>
      <c r="K37" s="3">
        <v>20160</v>
      </c>
      <c r="L37" s="4">
        <v>0</v>
      </c>
      <c r="M37" s="3">
        <v>0</v>
      </c>
      <c r="N37" s="3">
        <v>20160</v>
      </c>
      <c r="O37" s="2" t="s">
        <v>48</v>
      </c>
      <c r="P37" s="2" t="s">
        <v>42</v>
      </c>
      <c r="Q37" s="2" t="s">
        <v>68</v>
      </c>
    </row>
    <row r="38" spans="1:17" x14ac:dyDescent="0.25">
      <c r="A38" s="2" t="s">
        <v>145</v>
      </c>
      <c r="B38" s="5">
        <v>46059</v>
      </c>
      <c r="C38" s="2" t="s">
        <v>78</v>
      </c>
      <c r="D38" s="2" t="s">
        <v>44</v>
      </c>
      <c r="E38" s="2">
        <v>5301</v>
      </c>
      <c r="F38" s="2" t="s">
        <v>45</v>
      </c>
      <c r="G38" s="2" t="s">
        <v>46</v>
      </c>
      <c r="H38" s="2" t="s">
        <v>47</v>
      </c>
      <c r="I38" s="2" t="s">
        <v>33</v>
      </c>
      <c r="J38" s="2" t="s">
        <v>24</v>
      </c>
      <c r="K38" s="3">
        <v>26400</v>
      </c>
      <c r="L38" s="4">
        <v>0.18</v>
      </c>
      <c r="M38" s="3">
        <v>4752</v>
      </c>
      <c r="N38" s="3">
        <v>31152</v>
      </c>
      <c r="O38" s="2" t="s">
        <v>25</v>
      </c>
      <c r="P38" s="2" t="s">
        <v>26</v>
      </c>
      <c r="Q38" s="2" t="s">
        <v>36</v>
      </c>
    </row>
    <row r="39" spans="1:17" x14ac:dyDescent="0.25">
      <c r="A39" s="2" t="s">
        <v>146</v>
      </c>
      <c r="B39" s="5">
        <v>46060</v>
      </c>
      <c r="C39" s="2" t="s">
        <v>78</v>
      </c>
      <c r="D39" s="2" t="s">
        <v>50</v>
      </c>
      <c r="E39" s="2">
        <v>5401</v>
      </c>
      <c r="F39" s="2" t="s">
        <v>51</v>
      </c>
      <c r="G39" s="2" t="s">
        <v>52</v>
      </c>
      <c r="H39" s="2" t="s">
        <v>53</v>
      </c>
      <c r="I39" s="2" t="s">
        <v>33</v>
      </c>
      <c r="J39" s="2" t="s">
        <v>24</v>
      </c>
      <c r="K39" s="3">
        <v>54600</v>
      </c>
      <c r="L39" s="4">
        <v>0.18</v>
      </c>
      <c r="M39" s="3">
        <v>9828</v>
      </c>
      <c r="N39" s="3">
        <v>64428</v>
      </c>
      <c r="O39" s="2" t="s">
        <v>25</v>
      </c>
      <c r="P39" s="2" t="s">
        <v>54</v>
      </c>
      <c r="Q39" s="2" t="s">
        <v>27</v>
      </c>
    </row>
    <row r="40" spans="1:17" x14ac:dyDescent="0.25">
      <c r="A40" s="2" t="s">
        <v>147</v>
      </c>
      <c r="B40" s="5">
        <v>46061</v>
      </c>
      <c r="C40" s="2" t="s">
        <v>78</v>
      </c>
      <c r="D40" s="2" t="s">
        <v>60</v>
      </c>
      <c r="E40" s="2">
        <v>5501</v>
      </c>
      <c r="F40" s="2" t="s">
        <v>61</v>
      </c>
      <c r="G40" s="2" t="s">
        <v>62</v>
      </c>
      <c r="H40" s="2" t="s">
        <v>63</v>
      </c>
      <c r="I40" s="2" t="s">
        <v>33</v>
      </c>
      <c r="J40" s="2" t="s">
        <v>34</v>
      </c>
      <c r="K40" s="3">
        <v>67680</v>
      </c>
      <c r="L40" s="4">
        <v>0.18</v>
      </c>
      <c r="M40" s="3">
        <v>12182</v>
      </c>
      <c r="N40" s="3">
        <v>79862</v>
      </c>
      <c r="O40" s="2" t="s">
        <v>25</v>
      </c>
      <c r="P40" s="2" t="s">
        <v>42</v>
      </c>
      <c r="Q40" s="2" t="s">
        <v>27</v>
      </c>
    </row>
    <row r="41" spans="1:17" x14ac:dyDescent="0.25">
      <c r="A41" s="2" t="s">
        <v>148</v>
      </c>
      <c r="B41" s="5">
        <v>46062</v>
      </c>
      <c r="C41" s="2" t="s">
        <v>78</v>
      </c>
      <c r="D41" s="2" t="s">
        <v>38</v>
      </c>
      <c r="E41" s="2">
        <v>5202</v>
      </c>
      <c r="F41" s="2" t="s">
        <v>65</v>
      </c>
      <c r="G41" s="2" t="s">
        <v>66</v>
      </c>
      <c r="H41" s="2" t="s">
        <v>67</v>
      </c>
      <c r="I41" s="2" t="s">
        <v>33</v>
      </c>
      <c r="J41" s="2" t="s">
        <v>58</v>
      </c>
      <c r="K41" s="3">
        <v>14550</v>
      </c>
      <c r="L41" s="4">
        <v>0.18</v>
      </c>
      <c r="M41" s="3">
        <v>2619</v>
      </c>
      <c r="N41" s="3">
        <v>17169</v>
      </c>
      <c r="O41" s="2" t="s">
        <v>48</v>
      </c>
      <c r="P41" s="2" t="s">
        <v>26</v>
      </c>
      <c r="Q41" s="2" t="s">
        <v>68</v>
      </c>
    </row>
    <row r="42" spans="1:17" x14ac:dyDescent="0.25">
      <c r="A42" s="2" t="s">
        <v>149</v>
      </c>
      <c r="B42" s="5">
        <v>46063</v>
      </c>
      <c r="C42" s="2" t="s">
        <v>78</v>
      </c>
      <c r="D42" s="2" t="s">
        <v>19</v>
      </c>
      <c r="E42" s="2">
        <v>4001</v>
      </c>
      <c r="F42" s="2" t="s">
        <v>20</v>
      </c>
      <c r="G42" s="2" t="s">
        <v>21</v>
      </c>
      <c r="H42" s="2" t="s">
        <v>22</v>
      </c>
      <c r="I42" s="2" t="s">
        <v>23</v>
      </c>
      <c r="J42" s="2" t="s">
        <v>24</v>
      </c>
      <c r="K42" s="3">
        <v>250000</v>
      </c>
      <c r="L42" s="4">
        <v>0.18</v>
      </c>
      <c r="M42" s="3">
        <v>45000</v>
      </c>
      <c r="N42" s="3">
        <v>295000</v>
      </c>
      <c r="O42" s="2" t="s">
        <v>25</v>
      </c>
      <c r="P42" s="2" t="s">
        <v>26</v>
      </c>
      <c r="Q42" s="2" t="s">
        <v>27</v>
      </c>
    </row>
    <row r="43" spans="1:17" x14ac:dyDescent="0.25">
      <c r="A43" s="2" t="s">
        <v>150</v>
      </c>
      <c r="B43" s="5">
        <v>46064</v>
      </c>
      <c r="C43" s="2" t="s">
        <v>78</v>
      </c>
      <c r="D43" s="2" t="s">
        <v>44</v>
      </c>
      <c r="E43" s="2">
        <v>5302</v>
      </c>
      <c r="F43" s="2" t="s">
        <v>82</v>
      </c>
      <c r="G43" s="2" t="s">
        <v>83</v>
      </c>
      <c r="H43" s="2" t="s">
        <v>84</v>
      </c>
      <c r="I43" s="2" t="s">
        <v>33</v>
      </c>
      <c r="J43" s="2" t="s">
        <v>34</v>
      </c>
      <c r="K43" s="3">
        <v>22660</v>
      </c>
      <c r="L43" s="4">
        <v>0.18</v>
      </c>
      <c r="M43" s="3">
        <v>4079</v>
      </c>
      <c r="N43" s="3">
        <v>26739</v>
      </c>
      <c r="O43" s="2" t="s">
        <v>25</v>
      </c>
      <c r="P43" s="2" t="s">
        <v>35</v>
      </c>
      <c r="Q43" s="2" t="s">
        <v>36</v>
      </c>
    </row>
    <row r="44" spans="1:17" x14ac:dyDescent="0.25">
      <c r="A44" s="2" t="s">
        <v>151</v>
      </c>
      <c r="B44" s="5">
        <v>46065</v>
      </c>
      <c r="C44" s="2" t="s">
        <v>78</v>
      </c>
      <c r="D44" s="2" t="s">
        <v>19</v>
      </c>
      <c r="E44" s="2">
        <v>4003</v>
      </c>
      <c r="F44" s="2" t="s">
        <v>20</v>
      </c>
      <c r="G44" s="2" t="s">
        <v>92</v>
      </c>
      <c r="H44" s="2" t="s">
        <v>93</v>
      </c>
      <c r="I44" s="2" t="s">
        <v>23</v>
      </c>
      <c r="J44" s="2" t="s">
        <v>24</v>
      </c>
      <c r="K44" s="3">
        <v>100700</v>
      </c>
      <c r="L44" s="4">
        <v>0.18</v>
      </c>
      <c r="M44" s="3">
        <v>18126</v>
      </c>
      <c r="N44" s="3">
        <v>118826</v>
      </c>
      <c r="O44" s="2" t="s">
        <v>25</v>
      </c>
      <c r="P44" s="2" t="s">
        <v>35</v>
      </c>
      <c r="Q44" s="2" t="s">
        <v>36</v>
      </c>
    </row>
    <row r="45" spans="1:17" x14ac:dyDescent="0.25">
      <c r="A45" s="2" t="s">
        <v>152</v>
      </c>
      <c r="B45" s="5">
        <v>46066</v>
      </c>
      <c r="C45" s="2" t="s">
        <v>78</v>
      </c>
      <c r="D45" s="2" t="s">
        <v>50</v>
      </c>
      <c r="E45" s="2">
        <v>5402</v>
      </c>
      <c r="F45" s="2" t="s">
        <v>95</v>
      </c>
      <c r="G45" s="2" t="s">
        <v>96</v>
      </c>
      <c r="H45" s="2" t="s">
        <v>97</v>
      </c>
      <c r="I45" s="2" t="s">
        <v>33</v>
      </c>
      <c r="J45" s="2" t="s">
        <v>24</v>
      </c>
      <c r="K45" s="3">
        <v>59950</v>
      </c>
      <c r="L45" s="4">
        <v>0.18</v>
      </c>
      <c r="M45" s="3">
        <v>10791</v>
      </c>
      <c r="N45" s="3">
        <v>70741</v>
      </c>
      <c r="O45" s="2" t="s">
        <v>48</v>
      </c>
      <c r="P45" s="2" t="s">
        <v>42</v>
      </c>
      <c r="Q45" s="2" t="s">
        <v>27</v>
      </c>
    </row>
    <row r="46" spans="1:17" x14ac:dyDescent="0.25">
      <c r="A46" s="2" t="s">
        <v>153</v>
      </c>
      <c r="B46" s="5">
        <v>46067</v>
      </c>
      <c r="C46" s="2" t="s">
        <v>78</v>
      </c>
      <c r="D46" s="2" t="s">
        <v>38</v>
      </c>
      <c r="E46" s="2">
        <v>5203</v>
      </c>
      <c r="F46" s="2" t="s">
        <v>99</v>
      </c>
      <c r="G46" s="2" t="s">
        <v>100</v>
      </c>
      <c r="H46" s="2" t="s">
        <v>101</v>
      </c>
      <c r="I46" s="2" t="s">
        <v>33</v>
      </c>
      <c r="J46" s="2" t="s">
        <v>34</v>
      </c>
      <c r="K46" s="3">
        <v>30240</v>
      </c>
      <c r="L46" s="4">
        <v>0.05</v>
      </c>
      <c r="M46" s="3">
        <v>1512</v>
      </c>
      <c r="N46" s="3">
        <v>31752</v>
      </c>
      <c r="O46" s="2" t="s">
        <v>25</v>
      </c>
      <c r="P46" s="2" t="s">
        <v>54</v>
      </c>
      <c r="Q46" s="2" t="s">
        <v>36</v>
      </c>
    </row>
    <row r="47" spans="1:17" x14ac:dyDescent="0.25">
      <c r="A47" s="2" t="s">
        <v>154</v>
      </c>
      <c r="B47" s="5">
        <v>46068</v>
      </c>
      <c r="C47" s="2" t="s">
        <v>78</v>
      </c>
      <c r="D47" s="2" t="s">
        <v>19</v>
      </c>
      <c r="E47" s="2">
        <v>4001</v>
      </c>
      <c r="F47" s="2" t="s">
        <v>20</v>
      </c>
      <c r="G47" s="2" t="s">
        <v>128</v>
      </c>
      <c r="H47" s="2" t="s">
        <v>129</v>
      </c>
      <c r="I47" s="2" t="s">
        <v>23</v>
      </c>
      <c r="J47" s="2" t="s">
        <v>24</v>
      </c>
      <c r="K47" s="3">
        <v>264000</v>
      </c>
      <c r="L47" s="4">
        <v>0.18</v>
      </c>
      <c r="M47" s="3">
        <v>47520</v>
      </c>
      <c r="N47" s="3">
        <v>311520</v>
      </c>
      <c r="O47" s="2" t="s">
        <v>25</v>
      </c>
      <c r="P47" s="2" t="s">
        <v>26</v>
      </c>
      <c r="Q47" s="2" t="s">
        <v>27</v>
      </c>
    </row>
    <row r="48" spans="1:17" x14ac:dyDescent="0.25">
      <c r="A48" s="2" t="s">
        <v>155</v>
      </c>
      <c r="B48" s="5">
        <v>46069</v>
      </c>
      <c r="C48" s="2" t="s">
        <v>78</v>
      </c>
      <c r="D48" s="2" t="s">
        <v>60</v>
      </c>
      <c r="E48" s="2">
        <v>5501</v>
      </c>
      <c r="F48" s="2" t="s">
        <v>61</v>
      </c>
      <c r="G48" s="2" t="s">
        <v>117</v>
      </c>
      <c r="H48" s="2" t="s">
        <v>118</v>
      </c>
      <c r="I48" s="2" t="s">
        <v>33</v>
      </c>
      <c r="J48" s="2" t="s">
        <v>34</v>
      </c>
      <c r="K48" s="3">
        <v>65520</v>
      </c>
      <c r="L48" s="4">
        <v>0.18</v>
      </c>
      <c r="M48" s="3">
        <v>11794</v>
      </c>
      <c r="N48" s="3">
        <v>77314</v>
      </c>
      <c r="O48" s="2" t="s">
        <v>25</v>
      </c>
      <c r="P48" s="2" t="s">
        <v>35</v>
      </c>
      <c r="Q48" s="2" t="s">
        <v>27</v>
      </c>
    </row>
    <row r="49" spans="1:17" x14ac:dyDescent="0.25">
      <c r="A49" s="2" t="s">
        <v>156</v>
      </c>
      <c r="B49" s="5">
        <v>46070</v>
      </c>
      <c r="C49" s="2" t="s">
        <v>78</v>
      </c>
      <c r="D49" s="2" t="s">
        <v>44</v>
      </c>
      <c r="E49" s="2">
        <v>5303</v>
      </c>
      <c r="F49" s="2" t="s">
        <v>120</v>
      </c>
      <c r="G49" s="2" t="s">
        <v>121</v>
      </c>
      <c r="H49" s="2" t="s">
        <v>122</v>
      </c>
      <c r="I49" s="2" t="s">
        <v>33</v>
      </c>
      <c r="J49" s="2" t="s">
        <v>34</v>
      </c>
      <c r="K49" s="3">
        <v>37600</v>
      </c>
      <c r="L49" s="4">
        <v>0.18</v>
      </c>
      <c r="M49" s="3">
        <v>6768</v>
      </c>
      <c r="N49" s="3">
        <v>44368</v>
      </c>
      <c r="O49" s="2" t="s">
        <v>48</v>
      </c>
      <c r="P49" s="2" t="s">
        <v>42</v>
      </c>
      <c r="Q49" s="2" t="s">
        <v>36</v>
      </c>
    </row>
    <row r="50" spans="1:17" x14ac:dyDescent="0.25">
      <c r="A50" s="2" t="s">
        <v>157</v>
      </c>
      <c r="B50" s="5">
        <v>46071</v>
      </c>
      <c r="C50" s="2" t="s">
        <v>78</v>
      </c>
      <c r="D50" s="2" t="s">
        <v>50</v>
      </c>
      <c r="E50" s="2">
        <v>5403</v>
      </c>
      <c r="F50" s="2" t="s">
        <v>124</v>
      </c>
      <c r="G50" s="2" t="s">
        <v>125</v>
      </c>
      <c r="H50" s="2" t="s">
        <v>126</v>
      </c>
      <c r="I50" s="2" t="s">
        <v>33</v>
      </c>
      <c r="J50" s="2" t="s">
        <v>24</v>
      </c>
      <c r="K50" s="3">
        <v>45590</v>
      </c>
      <c r="L50" s="4">
        <v>0.18</v>
      </c>
      <c r="M50" s="3">
        <v>8206</v>
      </c>
      <c r="N50" s="3">
        <v>53796</v>
      </c>
      <c r="O50" s="2" t="s">
        <v>25</v>
      </c>
      <c r="P50" s="2" t="s">
        <v>54</v>
      </c>
      <c r="Q50" s="2" t="s">
        <v>27</v>
      </c>
    </row>
    <row r="51" spans="1:17" x14ac:dyDescent="0.25">
      <c r="A51" s="2" t="s">
        <v>158</v>
      </c>
      <c r="B51" s="5">
        <v>46072</v>
      </c>
      <c r="C51" s="2" t="s">
        <v>78</v>
      </c>
      <c r="D51" s="2" t="s">
        <v>19</v>
      </c>
      <c r="E51" s="2">
        <v>4002</v>
      </c>
      <c r="F51" s="2" t="s">
        <v>20</v>
      </c>
      <c r="G51" s="2" t="s">
        <v>56</v>
      </c>
      <c r="H51" s="2" t="s">
        <v>57</v>
      </c>
      <c r="I51" s="2" t="s">
        <v>23</v>
      </c>
      <c r="J51" s="2" t="s">
        <v>58</v>
      </c>
      <c r="K51" s="3">
        <v>120000</v>
      </c>
      <c r="L51" s="4">
        <v>0.18</v>
      </c>
      <c r="M51" s="3">
        <v>21600</v>
      </c>
      <c r="N51" s="3">
        <v>141600</v>
      </c>
      <c r="O51" s="2" t="s">
        <v>25</v>
      </c>
      <c r="P51" s="2" t="s">
        <v>35</v>
      </c>
      <c r="Q51" s="2" t="s">
        <v>27</v>
      </c>
    </row>
    <row r="52" spans="1:17" x14ac:dyDescent="0.25">
      <c r="A52" s="2" t="s">
        <v>159</v>
      </c>
      <c r="B52" s="5">
        <v>46073</v>
      </c>
      <c r="C52" s="2" t="s">
        <v>78</v>
      </c>
      <c r="D52" s="2" t="s">
        <v>19</v>
      </c>
      <c r="E52" s="2">
        <v>4003</v>
      </c>
      <c r="F52" s="2" t="s">
        <v>20</v>
      </c>
      <c r="G52" s="2" t="s">
        <v>92</v>
      </c>
      <c r="H52" s="2" t="s">
        <v>93</v>
      </c>
      <c r="I52" s="2" t="s">
        <v>23</v>
      </c>
      <c r="J52" s="2" t="s">
        <v>24</v>
      </c>
      <c r="K52" s="3">
        <v>97850</v>
      </c>
      <c r="L52" s="4">
        <v>0.18</v>
      </c>
      <c r="M52" s="3">
        <v>17613</v>
      </c>
      <c r="N52" s="3">
        <v>115463</v>
      </c>
      <c r="O52" s="2" t="s">
        <v>25</v>
      </c>
      <c r="P52" s="2" t="s">
        <v>35</v>
      </c>
      <c r="Q52" s="2" t="s">
        <v>36</v>
      </c>
    </row>
    <row r="53" spans="1:17" x14ac:dyDescent="0.25">
      <c r="A53" s="2" t="s">
        <v>160</v>
      </c>
      <c r="B53" s="5">
        <v>46074</v>
      </c>
      <c r="C53" s="2" t="s">
        <v>78</v>
      </c>
      <c r="D53" s="2" t="s">
        <v>29</v>
      </c>
      <c r="E53" s="2">
        <v>5102</v>
      </c>
      <c r="F53" s="2" t="s">
        <v>30</v>
      </c>
      <c r="G53" s="2" t="s">
        <v>31</v>
      </c>
      <c r="H53" s="2" t="s">
        <v>32</v>
      </c>
      <c r="I53" s="2" t="s">
        <v>33</v>
      </c>
      <c r="J53" s="2" t="s">
        <v>34</v>
      </c>
      <c r="K53" s="3">
        <v>47700</v>
      </c>
      <c r="L53" s="4">
        <v>0.18</v>
      </c>
      <c r="M53" s="3">
        <v>8586</v>
      </c>
      <c r="N53" s="3">
        <v>56286</v>
      </c>
      <c r="O53" s="2" t="s">
        <v>48</v>
      </c>
      <c r="P53" s="2" t="s">
        <v>35</v>
      </c>
      <c r="Q53" s="2" t="s">
        <v>36</v>
      </c>
    </row>
    <row r="54" spans="1:17" x14ac:dyDescent="0.25">
      <c r="A54" s="2" t="s">
        <v>161</v>
      </c>
      <c r="B54" s="5">
        <v>46075</v>
      </c>
      <c r="C54" s="2" t="s">
        <v>78</v>
      </c>
      <c r="D54" s="2" t="s">
        <v>38</v>
      </c>
      <c r="E54" s="2">
        <v>5201</v>
      </c>
      <c r="F54" s="2" t="s">
        <v>39</v>
      </c>
      <c r="G54" s="2" t="s">
        <v>40</v>
      </c>
      <c r="H54" s="2" t="s">
        <v>41</v>
      </c>
      <c r="I54" s="2" t="s">
        <v>33</v>
      </c>
      <c r="J54" s="2" t="s">
        <v>24</v>
      </c>
      <c r="K54" s="3">
        <v>87200</v>
      </c>
      <c r="L54" s="4">
        <v>0.18</v>
      </c>
      <c r="M54" s="3">
        <v>15696</v>
      </c>
      <c r="N54" s="3">
        <v>102896</v>
      </c>
      <c r="O54" s="2" t="s">
        <v>25</v>
      </c>
      <c r="P54" s="2" t="s">
        <v>42</v>
      </c>
      <c r="Q54" s="2" t="s">
        <v>27</v>
      </c>
    </row>
    <row r="55" spans="1:17" x14ac:dyDescent="0.25">
      <c r="A55" s="2" t="s">
        <v>162</v>
      </c>
      <c r="B55" s="5">
        <v>46076</v>
      </c>
      <c r="C55" s="2" t="s">
        <v>78</v>
      </c>
      <c r="D55" s="2" t="s">
        <v>44</v>
      </c>
      <c r="E55" s="2">
        <v>5301</v>
      </c>
      <c r="F55" s="2" t="s">
        <v>45</v>
      </c>
      <c r="G55" s="2" t="s">
        <v>46</v>
      </c>
      <c r="H55" s="2" t="s">
        <v>47</v>
      </c>
      <c r="I55" s="2" t="s">
        <v>33</v>
      </c>
      <c r="J55" s="2" t="s">
        <v>24</v>
      </c>
      <c r="K55" s="3">
        <v>33600</v>
      </c>
      <c r="L55" s="4">
        <v>0.18</v>
      </c>
      <c r="M55" s="3">
        <v>6048</v>
      </c>
      <c r="N55" s="3">
        <v>39648</v>
      </c>
      <c r="O55" s="2" t="s">
        <v>25</v>
      </c>
      <c r="P55" s="2" t="s">
        <v>26</v>
      </c>
      <c r="Q55" s="2" t="s">
        <v>36</v>
      </c>
    </row>
    <row r="56" spans="1:17" x14ac:dyDescent="0.25">
      <c r="A56" s="2" t="s">
        <v>163</v>
      </c>
      <c r="B56" s="5">
        <v>46077</v>
      </c>
      <c r="C56" s="2" t="s">
        <v>78</v>
      </c>
      <c r="D56" s="2" t="s">
        <v>50</v>
      </c>
      <c r="E56" s="2">
        <v>5401</v>
      </c>
      <c r="F56" s="2" t="s">
        <v>51</v>
      </c>
      <c r="G56" s="2" t="s">
        <v>52</v>
      </c>
      <c r="H56" s="2" t="s">
        <v>53</v>
      </c>
      <c r="I56" s="2" t="s">
        <v>33</v>
      </c>
      <c r="J56" s="2" t="s">
        <v>24</v>
      </c>
      <c r="K56" s="3">
        <v>52800</v>
      </c>
      <c r="L56" s="4">
        <v>0.18</v>
      </c>
      <c r="M56" s="3">
        <v>9504</v>
      </c>
      <c r="N56" s="3">
        <v>62304</v>
      </c>
      <c r="O56" s="2" t="s">
        <v>25</v>
      </c>
      <c r="P56" s="2" t="s">
        <v>54</v>
      </c>
      <c r="Q56" s="2" t="s">
        <v>27</v>
      </c>
    </row>
    <row r="57" spans="1:17" x14ac:dyDescent="0.25">
      <c r="A57" s="2" t="s">
        <v>164</v>
      </c>
      <c r="B57" s="5">
        <v>46078</v>
      </c>
      <c r="C57" s="2" t="s">
        <v>78</v>
      </c>
      <c r="D57" s="2" t="s">
        <v>19</v>
      </c>
      <c r="E57" s="2">
        <v>4003</v>
      </c>
      <c r="F57" s="2" t="s">
        <v>20</v>
      </c>
      <c r="G57" s="2" t="s">
        <v>79</v>
      </c>
      <c r="H57" s="2" t="s">
        <v>80</v>
      </c>
      <c r="I57" s="2" t="s">
        <v>23</v>
      </c>
      <c r="J57" s="2" t="s">
        <v>24</v>
      </c>
      <c r="K57" s="3">
        <v>159250</v>
      </c>
      <c r="L57" s="4">
        <v>0.18</v>
      </c>
      <c r="M57" s="3">
        <v>28665</v>
      </c>
      <c r="N57" s="3">
        <v>187915</v>
      </c>
      <c r="O57" s="2" t="s">
        <v>48</v>
      </c>
      <c r="P57" s="2" t="s">
        <v>26</v>
      </c>
      <c r="Q57" s="2" t="s">
        <v>27</v>
      </c>
    </row>
    <row r="58" spans="1:17" x14ac:dyDescent="0.25">
      <c r="A58" s="2" t="s">
        <v>165</v>
      </c>
      <c r="B58" s="5">
        <v>46079</v>
      </c>
      <c r="C58" s="2" t="s">
        <v>78</v>
      </c>
      <c r="D58" s="2" t="s">
        <v>19</v>
      </c>
      <c r="E58" s="2">
        <v>4001</v>
      </c>
      <c r="F58" s="2" t="s">
        <v>20</v>
      </c>
      <c r="G58" s="2" t="s">
        <v>21</v>
      </c>
      <c r="H58" s="2" t="s">
        <v>22</v>
      </c>
      <c r="I58" s="2" t="s">
        <v>23</v>
      </c>
      <c r="J58" s="2" t="s">
        <v>24</v>
      </c>
      <c r="K58" s="3">
        <v>235000</v>
      </c>
      <c r="L58" s="4">
        <v>0.18</v>
      </c>
      <c r="M58" s="3">
        <v>42300</v>
      </c>
      <c r="N58" s="3">
        <v>277300</v>
      </c>
      <c r="O58" s="2" t="s">
        <v>25</v>
      </c>
      <c r="P58" s="2" t="s">
        <v>26</v>
      </c>
      <c r="Q58" s="2" t="s">
        <v>27</v>
      </c>
    </row>
    <row r="59" spans="1:17" x14ac:dyDescent="0.25">
      <c r="A59" s="2" t="s">
        <v>166</v>
      </c>
      <c r="B59" s="5">
        <v>46080</v>
      </c>
      <c r="C59" s="2" t="s">
        <v>78</v>
      </c>
      <c r="D59" s="2" t="s">
        <v>29</v>
      </c>
      <c r="E59" s="2">
        <v>5103</v>
      </c>
      <c r="F59" s="2" t="s">
        <v>70</v>
      </c>
      <c r="G59" s="2" t="s">
        <v>71</v>
      </c>
      <c r="H59" s="2" t="s">
        <v>72</v>
      </c>
      <c r="I59" s="2" t="s">
        <v>33</v>
      </c>
      <c r="J59" s="2" t="s">
        <v>24</v>
      </c>
      <c r="K59" s="3">
        <v>87300</v>
      </c>
      <c r="L59" s="4">
        <v>0.18</v>
      </c>
      <c r="M59" s="3">
        <v>15714</v>
      </c>
      <c r="N59" s="3">
        <v>103014</v>
      </c>
      <c r="O59" s="2" t="s">
        <v>25</v>
      </c>
      <c r="P59" s="2" t="s">
        <v>54</v>
      </c>
      <c r="Q59" s="2" t="s">
        <v>27</v>
      </c>
    </row>
    <row r="60" spans="1:17" x14ac:dyDescent="0.25">
      <c r="A60" s="2" t="s">
        <v>167</v>
      </c>
      <c r="B60" s="5">
        <v>46081</v>
      </c>
      <c r="C60" s="2" t="s">
        <v>78</v>
      </c>
      <c r="D60" s="2" t="s">
        <v>44</v>
      </c>
      <c r="E60" s="2">
        <v>5302</v>
      </c>
      <c r="F60" s="2" t="s">
        <v>82</v>
      </c>
      <c r="G60" s="2" t="s">
        <v>83</v>
      </c>
      <c r="H60" s="2" t="s">
        <v>84</v>
      </c>
      <c r="I60" s="2" t="s">
        <v>33</v>
      </c>
      <c r="J60" s="2" t="s">
        <v>34</v>
      </c>
      <c r="K60" s="3">
        <v>22000</v>
      </c>
      <c r="L60" s="4">
        <v>0.18</v>
      </c>
      <c r="M60" s="3">
        <v>3960</v>
      </c>
      <c r="N60" s="3">
        <v>25960</v>
      </c>
      <c r="O60" s="2" t="s">
        <v>25</v>
      </c>
      <c r="P60" s="2" t="s">
        <v>35</v>
      </c>
      <c r="Q60" s="2" t="s">
        <v>36</v>
      </c>
    </row>
    <row r="61" spans="1:17" x14ac:dyDescent="0.25">
      <c r="A61" s="2" t="s">
        <v>168</v>
      </c>
      <c r="B61" s="5">
        <v>46082</v>
      </c>
      <c r="C61" s="2" t="s">
        <v>108</v>
      </c>
      <c r="D61" s="2" t="s">
        <v>60</v>
      </c>
      <c r="E61" s="2">
        <v>5502</v>
      </c>
      <c r="F61" s="2" t="s">
        <v>87</v>
      </c>
      <c r="G61" s="2" t="s">
        <v>88</v>
      </c>
      <c r="H61" s="2" t="s">
        <v>89</v>
      </c>
      <c r="I61" s="2" t="s">
        <v>33</v>
      </c>
      <c r="J61" s="2" t="s">
        <v>24</v>
      </c>
      <c r="K61" s="3">
        <v>154500</v>
      </c>
      <c r="L61" s="4">
        <v>0.18</v>
      </c>
      <c r="M61" s="3">
        <v>27810</v>
      </c>
      <c r="N61" s="3">
        <v>182310</v>
      </c>
      <c r="O61" s="2" t="s">
        <v>48</v>
      </c>
      <c r="P61" s="2" t="s">
        <v>54</v>
      </c>
      <c r="Q61" s="2" t="s">
        <v>27</v>
      </c>
    </row>
    <row r="62" spans="1:17" x14ac:dyDescent="0.25">
      <c r="A62" s="2" t="s">
        <v>169</v>
      </c>
      <c r="B62" s="5">
        <v>46083</v>
      </c>
      <c r="C62" s="2" t="s">
        <v>108</v>
      </c>
      <c r="D62" s="2" t="s">
        <v>50</v>
      </c>
      <c r="E62" s="2">
        <v>4102</v>
      </c>
      <c r="F62" s="2" t="s">
        <v>104</v>
      </c>
      <c r="G62" s="2" t="s">
        <v>105</v>
      </c>
      <c r="H62" s="2" t="s">
        <v>106</v>
      </c>
      <c r="I62" s="2" t="s">
        <v>23</v>
      </c>
      <c r="J62" s="2" t="s">
        <v>24</v>
      </c>
      <c r="K62" s="3">
        <v>12720</v>
      </c>
      <c r="L62" s="4">
        <v>0</v>
      </c>
      <c r="M62" s="3">
        <v>0</v>
      </c>
      <c r="N62" s="3">
        <v>12720</v>
      </c>
      <c r="O62" s="2" t="s">
        <v>25</v>
      </c>
      <c r="P62" s="2" t="s">
        <v>54</v>
      </c>
      <c r="Q62" s="2" t="s">
        <v>68</v>
      </c>
    </row>
    <row r="63" spans="1:17" x14ac:dyDescent="0.25">
      <c r="A63" s="2" t="s">
        <v>170</v>
      </c>
      <c r="B63" s="5">
        <v>46084</v>
      </c>
      <c r="C63" s="2" t="s">
        <v>108</v>
      </c>
      <c r="D63" s="2" t="s">
        <v>38</v>
      </c>
      <c r="E63" s="2">
        <v>5203</v>
      </c>
      <c r="F63" s="2" t="s">
        <v>99</v>
      </c>
      <c r="G63" s="2" t="s">
        <v>100</v>
      </c>
      <c r="H63" s="2" t="s">
        <v>101</v>
      </c>
      <c r="I63" s="2" t="s">
        <v>33</v>
      </c>
      <c r="J63" s="2" t="s">
        <v>34</v>
      </c>
      <c r="K63" s="3">
        <v>29430</v>
      </c>
      <c r="L63" s="4">
        <v>0.05</v>
      </c>
      <c r="M63" s="3">
        <v>1472</v>
      </c>
      <c r="N63" s="3">
        <v>30902</v>
      </c>
      <c r="O63" s="2" t="s">
        <v>25</v>
      </c>
      <c r="P63" s="2" t="s">
        <v>54</v>
      </c>
      <c r="Q63" s="2" t="s">
        <v>36</v>
      </c>
    </row>
    <row r="64" spans="1:17" x14ac:dyDescent="0.25">
      <c r="A64" s="2" t="s">
        <v>171</v>
      </c>
      <c r="B64" s="5">
        <v>46085</v>
      </c>
      <c r="C64" s="2" t="s">
        <v>108</v>
      </c>
      <c r="D64" s="2" t="s">
        <v>29</v>
      </c>
      <c r="E64" s="2">
        <v>5104</v>
      </c>
      <c r="F64" s="2" t="s">
        <v>112</v>
      </c>
      <c r="G64" s="2" t="s">
        <v>113</v>
      </c>
      <c r="H64" s="2" t="s">
        <v>114</v>
      </c>
      <c r="I64" s="2" t="s">
        <v>33</v>
      </c>
      <c r="J64" s="2" t="s">
        <v>24</v>
      </c>
      <c r="K64" s="3">
        <v>72800</v>
      </c>
      <c r="L64" s="4">
        <v>0.18</v>
      </c>
      <c r="M64" s="3">
        <v>13104</v>
      </c>
      <c r="N64" s="3">
        <v>85904</v>
      </c>
      <c r="O64" s="2" t="s">
        <v>25</v>
      </c>
      <c r="P64" s="2" t="s">
        <v>54</v>
      </c>
      <c r="Q64" s="2" t="s">
        <v>36</v>
      </c>
    </row>
    <row r="65" spans="1:17" x14ac:dyDescent="0.25">
      <c r="A65" s="2" t="s">
        <v>172</v>
      </c>
      <c r="B65" s="5">
        <v>46086</v>
      </c>
      <c r="C65" s="2" t="s">
        <v>108</v>
      </c>
      <c r="D65" s="2" t="s">
        <v>19</v>
      </c>
      <c r="E65" s="2">
        <v>4003</v>
      </c>
      <c r="F65" s="2" t="s">
        <v>20</v>
      </c>
      <c r="G65" s="2" t="s">
        <v>79</v>
      </c>
      <c r="H65" s="2" t="s">
        <v>80</v>
      </c>
      <c r="I65" s="2" t="s">
        <v>23</v>
      </c>
      <c r="J65" s="2" t="s">
        <v>24</v>
      </c>
      <c r="K65" s="3">
        <v>154000</v>
      </c>
      <c r="L65" s="4">
        <v>0.18</v>
      </c>
      <c r="M65" s="3">
        <v>27720</v>
      </c>
      <c r="N65" s="3">
        <v>181720</v>
      </c>
      <c r="O65" s="2" t="s">
        <v>48</v>
      </c>
      <c r="P65" s="2" t="s">
        <v>26</v>
      </c>
      <c r="Q65" s="2" t="s">
        <v>27</v>
      </c>
    </row>
    <row r="66" spans="1:17" x14ac:dyDescent="0.25">
      <c r="A66" s="2" t="s">
        <v>173</v>
      </c>
      <c r="B66" s="5">
        <v>46087</v>
      </c>
      <c r="C66" s="2" t="s">
        <v>108</v>
      </c>
      <c r="D66" s="2" t="s">
        <v>44</v>
      </c>
      <c r="E66" s="2">
        <v>5303</v>
      </c>
      <c r="F66" s="2" t="s">
        <v>120</v>
      </c>
      <c r="G66" s="2" t="s">
        <v>121</v>
      </c>
      <c r="H66" s="2" t="s">
        <v>122</v>
      </c>
      <c r="I66" s="2" t="s">
        <v>33</v>
      </c>
      <c r="J66" s="2" t="s">
        <v>34</v>
      </c>
      <c r="K66" s="3">
        <v>36400</v>
      </c>
      <c r="L66" s="4">
        <v>0.18</v>
      </c>
      <c r="M66" s="3">
        <v>6552</v>
      </c>
      <c r="N66" s="3">
        <v>42952</v>
      </c>
      <c r="O66" s="2" t="s">
        <v>25</v>
      </c>
      <c r="P66" s="2" t="s">
        <v>42</v>
      </c>
      <c r="Q66" s="2" t="s">
        <v>36</v>
      </c>
    </row>
    <row r="67" spans="1:17" x14ac:dyDescent="0.25">
      <c r="A67" s="2" t="s">
        <v>174</v>
      </c>
      <c r="B67" s="5">
        <v>46088</v>
      </c>
      <c r="C67" s="2" t="s">
        <v>108</v>
      </c>
      <c r="D67" s="2" t="s">
        <v>19</v>
      </c>
      <c r="E67" s="2">
        <v>4002</v>
      </c>
      <c r="F67" s="2" t="s">
        <v>20</v>
      </c>
      <c r="G67" s="2" t="s">
        <v>56</v>
      </c>
      <c r="H67" s="2" t="s">
        <v>57</v>
      </c>
      <c r="I67" s="2" t="s">
        <v>23</v>
      </c>
      <c r="J67" s="2" t="s">
        <v>58</v>
      </c>
      <c r="K67" s="3">
        <v>112800</v>
      </c>
      <c r="L67" s="4">
        <v>0.18</v>
      </c>
      <c r="M67" s="3">
        <v>20304</v>
      </c>
      <c r="N67" s="3">
        <v>133104</v>
      </c>
      <c r="O67" s="2" t="s">
        <v>25</v>
      </c>
      <c r="P67" s="2" t="s">
        <v>35</v>
      </c>
      <c r="Q67" s="2" t="s">
        <v>27</v>
      </c>
    </row>
    <row r="68" spans="1:17" x14ac:dyDescent="0.25">
      <c r="A68" s="2" t="s">
        <v>175</v>
      </c>
      <c r="B68" s="5">
        <v>46089</v>
      </c>
      <c r="C68" s="2" t="s">
        <v>108</v>
      </c>
      <c r="D68" s="2" t="s">
        <v>38</v>
      </c>
      <c r="E68" s="2">
        <v>5204</v>
      </c>
      <c r="F68" s="2" t="s">
        <v>131</v>
      </c>
      <c r="G68" s="2" t="s">
        <v>132</v>
      </c>
      <c r="H68" s="2" t="s">
        <v>133</v>
      </c>
      <c r="I68" s="2" t="s">
        <v>33</v>
      </c>
      <c r="J68" s="2" t="s">
        <v>58</v>
      </c>
      <c r="K68" s="3">
        <v>24250</v>
      </c>
      <c r="L68" s="4">
        <v>0.18</v>
      </c>
      <c r="M68" s="3">
        <v>4365</v>
      </c>
      <c r="N68" s="3">
        <v>28615</v>
      </c>
      <c r="O68" s="2" t="s">
        <v>25</v>
      </c>
      <c r="P68" s="2" t="s">
        <v>35</v>
      </c>
      <c r="Q68" s="2" t="s">
        <v>68</v>
      </c>
    </row>
    <row r="69" spans="1:17" x14ac:dyDescent="0.25">
      <c r="A69" s="2" t="s">
        <v>176</v>
      </c>
      <c r="B69" s="5">
        <v>46090</v>
      </c>
      <c r="C69" s="2" t="s">
        <v>108</v>
      </c>
      <c r="D69" s="2" t="s">
        <v>29</v>
      </c>
      <c r="E69" s="2">
        <v>5105</v>
      </c>
      <c r="F69" s="2" t="s">
        <v>135</v>
      </c>
      <c r="G69" s="2" t="s">
        <v>136</v>
      </c>
      <c r="H69" s="2" t="s">
        <v>137</v>
      </c>
      <c r="I69" s="2" t="s">
        <v>33</v>
      </c>
      <c r="J69" s="2" t="s">
        <v>24</v>
      </c>
      <c r="K69" s="3">
        <v>50000</v>
      </c>
      <c r="L69" s="4">
        <v>0.18</v>
      </c>
      <c r="M69" s="3">
        <v>9000</v>
      </c>
      <c r="N69" s="3">
        <v>59000</v>
      </c>
      <c r="O69" s="2" t="s">
        <v>48</v>
      </c>
      <c r="P69" s="2" t="s">
        <v>42</v>
      </c>
      <c r="Q69" s="2" t="s">
        <v>36</v>
      </c>
    </row>
    <row r="70" spans="1:17" x14ac:dyDescent="0.25">
      <c r="A70" s="2" t="s">
        <v>177</v>
      </c>
      <c r="B70" s="5">
        <v>46091</v>
      </c>
      <c r="C70" s="2" t="s">
        <v>108</v>
      </c>
      <c r="D70" s="2" t="s">
        <v>29</v>
      </c>
      <c r="E70" s="2">
        <v>5102</v>
      </c>
      <c r="F70" s="2" t="s">
        <v>30</v>
      </c>
      <c r="G70" s="2" t="s">
        <v>31</v>
      </c>
      <c r="H70" s="2" t="s">
        <v>32</v>
      </c>
      <c r="I70" s="2" t="s">
        <v>33</v>
      </c>
      <c r="J70" s="2" t="s">
        <v>34</v>
      </c>
      <c r="K70" s="3">
        <v>46350</v>
      </c>
      <c r="L70" s="4">
        <v>0.18</v>
      </c>
      <c r="M70" s="3">
        <v>8343</v>
      </c>
      <c r="N70" s="3">
        <v>54693</v>
      </c>
      <c r="O70" s="2" t="s">
        <v>25</v>
      </c>
      <c r="P70" s="2" t="s">
        <v>35</v>
      </c>
      <c r="Q70" s="2" t="s">
        <v>36</v>
      </c>
    </row>
    <row r="71" spans="1:17" x14ac:dyDescent="0.25">
      <c r="A71" s="2" t="s">
        <v>178</v>
      </c>
      <c r="B71" s="5">
        <v>46092</v>
      </c>
      <c r="C71" s="2" t="s">
        <v>108</v>
      </c>
      <c r="D71" s="2" t="s">
        <v>38</v>
      </c>
      <c r="E71" s="2">
        <v>5201</v>
      </c>
      <c r="F71" s="2" t="s">
        <v>39</v>
      </c>
      <c r="G71" s="2" t="s">
        <v>40</v>
      </c>
      <c r="H71" s="2" t="s">
        <v>41</v>
      </c>
      <c r="I71" s="2" t="s">
        <v>33</v>
      </c>
      <c r="J71" s="2" t="s">
        <v>24</v>
      </c>
      <c r="K71" s="3">
        <v>84800</v>
      </c>
      <c r="L71" s="4">
        <v>0.18</v>
      </c>
      <c r="M71" s="3">
        <v>15264</v>
      </c>
      <c r="N71" s="3">
        <v>100064</v>
      </c>
      <c r="O71" s="2" t="s">
        <v>25</v>
      </c>
      <c r="P71" s="2" t="s">
        <v>42</v>
      </c>
      <c r="Q71" s="2" t="s">
        <v>27</v>
      </c>
    </row>
    <row r="72" spans="1:17" x14ac:dyDescent="0.25">
      <c r="A72" s="2" t="s">
        <v>179</v>
      </c>
      <c r="B72" s="5">
        <v>46093</v>
      </c>
      <c r="C72" s="2" t="s">
        <v>108</v>
      </c>
      <c r="D72" s="2" t="s">
        <v>19</v>
      </c>
      <c r="E72" s="2">
        <v>4002</v>
      </c>
      <c r="F72" s="2" t="s">
        <v>20</v>
      </c>
      <c r="G72" s="2" t="s">
        <v>109</v>
      </c>
      <c r="H72" s="2" t="s">
        <v>110</v>
      </c>
      <c r="I72" s="2" t="s">
        <v>23</v>
      </c>
      <c r="J72" s="2" t="s">
        <v>24</v>
      </c>
      <c r="K72" s="3">
        <v>228900</v>
      </c>
      <c r="L72" s="4">
        <v>0.18</v>
      </c>
      <c r="M72" s="3">
        <v>41202</v>
      </c>
      <c r="N72" s="3">
        <v>270102</v>
      </c>
      <c r="O72" s="2" t="s">
        <v>25</v>
      </c>
      <c r="P72" s="2" t="s">
        <v>42</v>
      </c>
      <c r="Q72" s="2" t="s">
        <v>27</v>
      </c>
    </row>
    <row r="73" spans="1:17" x14ac:dyDescent="0.25">
      <c r="A73" s="2" t="s">
        <v>180</v>
      </c>
      <c r="B73" s="5">
        <v>46094</v>
      </c>
      <c r="C73" s="2" t="s">
        <v>108</v>
      </c>
      <c r="D73" s="2" t="s">
        <v>50</v>
      </c>
      <c r="E73" s="2">
        <v>5401</v>
      </c>
      <c r="F73" s="2" t="s">
        <v>51</v>
      </c>
      <c r="G73" s="2" t="s">
        <v>52</v>
      </c>
      <c r="H73" s="2" t="s">
        <v>53</v>
      </c>
      <c r="I73" s="2" t="s">
        <v>33</v>
      </c>
      <c r="J73" s="2" t="s">
        <v>24</v>
      </c>
      <c r="K73" s="3">
        <v>67200</v>
      </c>
      <c r="L73" s="4">
        <v>0.18</v>
      </c>
      <c r="M73" s="3">
        <v>12096</v>
      </c>
      <c r="N73" s="3">
        <v>79296</v>
      </c>
      <c r="O73" s="2" t="s">
        <v>48</v>
      </c>
      <c r="P73" s="2" t="s">
        <v>54</v>
      </c>
      <c r="Q73" s="2" t="s">
        <v>27</v>
      </c>
    </row>
    <row r="74" spans="1:17" x14ac:dyDescent="0.25">
      <c r="A74" s="2" t="s">
        <v>181</v>
      </c>
      <c r="B74" s="5">
        <v>46095</v>
      </c>
      <c r="C74" s="2" t="s">
        <v>108</v>
      </c>
      <c r="D74" s="2" t="s">
        <v>60</v>
      </c>
      <c r="E74" s="2">
        <v>5501</v>
      </c>
      <c r="F74" s="2" t="s">
        <v>61</v>
      </c>
      <c r="G74" s="2" t="s">
        <v>62</v>
      </c>
      <c r="H74" s="2" t="s">
        <v>63</v>
      </c>
      <c r="I74" s="2" t="s">
        <v>33</v>
      </c>
      <c r="J74" s="2" t="s">
        <v>34</v>
      </c>
      <c r="K74" s="3">
        <v>63360</v>
      </c>
      <c r="L74" s="4">
        <v>0.18</v>
      </c>
      <c r="M74" s="3">
        <v>11405</v>
      </c>
      <c r="N74" s="3">
        <v>74765</v>
      </c>
      <c r="O74" s="2" t="s">
        <v>25</v>
      </c>
      <c r="P74" s="2" t="s">
        <v>42</v>
      </c>
      <c r="Q74" s="2" t="s">
        <v>27</v>
      </c>
    </row>
    <row r="75" spans="1:17" x14ac:dyDescent="0.25">
      <c r="A75" s="2" t="s">
        <v>182</v>
      </c>
      <c r="B75" s="5">
        <v>46096</v>
      </c>
      <c r="C75" s="2" t="s">
        <v>108</v>
      </c>
      <c r="D75" s="2" t="s">
        <v>38</v>
      </c>
      <c r="E75" s="2">
        <v>5202</v>
      </c>
      <c r="F75" s="2" t="s">
        <v>65</v>
      </c>
      <c r="G75" s="2" t="s">
        <v>66</v>
      </c>
      <c r="H75" s="2" t="s">
        <v>67</v>
      </c>
      <c r="I75" s="2" t="s">
        <v>33</v>
      </c>
      <c r="J75" s="2" t="s">
        <v>58</v>
      </c>
      <c r="K75" s="3">
        <v>13650</v>
      </c>
      <c r="L75" s="4">
        <v>0.18</v>
      </c>
      <c r="M75" s="3">
        <v>2457</v>
      </c>
      <c r="N75" s="3">
        <v>16107</v>
      </c>
      <c r="O75" s="2" t="s">
        <v>25</v>
      </c>
      <c r="P75" s="2" t="s">
        <v>26</v>
      </c>
      <c r="Q75" s="2" t="s">
        <v>68</v>
      </c>
    </row>
    <row r="76" spans="1:17" x14ac:dyDescent="0.25">
      <c r="A76" s="2" t="s">
        <v>183</v>
      </c>
      <c r="B76" s="5">
        <v>46097</v>
      </c>
      <c r="C76" s="2" t="s">
        <v>108</v>
      </c>
      <c r="D76" s="2" t="s">
        <v>29</v>
      </c>
      <c r="E76" s="2">
        <v>5103</v>
      </c>
      <c r="F76" s="2" t="s">
        <v>70</v>
      </c>
      <c r="G76" s="2" t="s">
        <v>71</v>
      </c>
      <c r="H76" s="2" t="s">
        <v>72</v>
      </c>
      <c r="I76" s="2" t="s">
        <v>33</v>
      </c>
      <c r="J76" s="2" t="s">
        <v>24</v>
      </c>
      <c r="K76" s="3">
        <v>84600</v>
      </c>
      <c r="L76" s="4">
        <v>0.18</v>
      </c>
      <c r="M76" s="3">
        <v>15228</v>
      </c>
      <c r="N76" s="3">
        <v>99828</v>
      </c>
      <c r="O76" s="2" t="s">
        <v>25</v>
      </c>
      <c r="P76" s="2" t="s">
        <v>54</v>
      </c>
      <c r="Q76" s="2" t="s">
        <v>27</v>
      </c>
    </row>
    <row r="77" spans="1:17" x14ac:dyDescent="0.25">
      <c r="A77" s="2" t="s">
        <v>184</v>
      </c>
      <c r="B77" s="5">
        <v>46098</v>
      </c>
      <c r="C77" s="2" t="s">
        <v>108</v>
      </c>
      <c r="D77" s="2" t="s">
        <v>50</v>
      </c>
      <c r="E77" s="2">
        <v>4101</v>
      </c>
      <c r="F77" s="2" t="s">
        <v>74</v>
      </c>
      <c r="G77" s="2" t="s">
        <v>75</v>
      </c>
      <c r="H77" s="2" t="s">
        <v>76</v>
      </c>
      <c r="I77" s="2" t="s">
        <v>23</v>
      </c>
      <c r="J77" s="2" t="s">
        <v>24</v>
      </c>
      <c r="K77" s="3">
        <v>17460</v>
      </c>
      <c r="L77" s="4">
        <v>0</v>
      </c>
      <c r="M77" s="3">
        <v>0</v>
      </c>
      <c r="N77" s="3">
        <v>17460</v>
      </c>
      <c r="O77" s="2" t="s">
        <v>48</v>
      </c>
      <c r="P77" s="2" t="s">
        <v>42</v>
      </c>
      <c r="Q77" s="2" t="s">
        <v>68</v>
      </c>
    </row>
    <row r="78" spans="1:17" x14ac:dyDescent="0.25">
      <c r="A78" s="2" t="s">
        <v>185</v>
      </c>
      <c r="B78" s="5">
        <v>46099</v>
      </c>
      <c r="C78" s="2" t="s">
        <v>108</v>
      </c>
      <c r="D78" s="2" t="s">
        <v>60</v>
      </c>
      <c r="E78" s="2">
        <v>5502</v>
      </c>
      <c r="F78" s="2" t="s">
        <v>87</v>
      </c>
      <c r="G78" s="2" t="s">
        <v>88</v>
      </c>
      <c r="H78" s="2" t="s">
        <v>89</v>
      </c>
      <c r="I78" s="2" t="s">
        <v>33</v>
      </c>
      <c r="J78" s="2" t="s">
        <v>24</v>
      </c>
      <c r="K78" s="3">
        <v>150000</v>
      </c>
      <c r="L78" s="4">
        <v>0.18</v>
      </c>
      <c r="M78" s="3">
        <v>27000</v>
      </c>
      <c r="N78" s="3">
        <v>177000</v>
      </c>
      <c r="O78" s="2" t="s">
        <v>25</v>
      </c>
      <c r="P78" s="2" t="s">
        <v>54</v>
      </c>
      <c r="Q78" s="2" t="s">
        <v>27</v>
      </c>
    </row>
    <row r="79" spans="1:17" x14ac:dyDescent="0.25">
      <c r="A79" s="2" t="s">
        <v>186</v>
      </c>
      <c r="B79" s="5">
        <v>46100</v>
      </c>
      <c r="C79" s="2" t="s">
        <v>108</v>
      </c>
      <c r="D79" s="2" t="s">
        <v>19</v>
      </c>
      <c r="E79" s="2">
        <v>4001</v>
      </c>
      <c r="F79" s="2" t="s">
        <v>20</v>
      </c>
      <c r="G79" s="2" t="s">
        <v>128</v>
      </c>
      <c r="H79" s="2" t="s">
        <v>129</v>
      </c>
      <c r="I79" s="2" t="s">
        <v>23</v>
      </c>
      <c r="J79" s="2" t="s">
        <v>24</v>
      </c>
      <c r="K79" s="3">
        <v>309000</v>
      </c>
      <c r="L79" s="4">
        <v>0.18</v>
      </c>
      <c r="M79" s="3">
        <v>55620</v>
      </c>
      <c r="N79" s="3">
        <v>364620</v>
      </c>
      <c r="O79" s="2" t="s">
        <v>25</v>
      </c>
      <c r="P79" s="2" t="s">
        <v>26</v>
      </c>
      <c r="Q79" s="2" t="s">
        <v>27</v>
      </c>
    </row>
    <row r="80" spans="1:17" x14ac:dyDescent="0.25">
      <c r="A80" s="2" t="s">
        <v>187</v>
      </c>
      <c r="B80" s="5">
        <v>46101</v>
      </c>
      <c r="C80" s="2" t="s">
        <v>108</v>
      </c>
      <c r="D80" s="2" t="s">
        <v>38</v>
      </c>
      <c r="E80" s="2">
        <v>5203</v>
      </c>
      <c r="F80" s="2" t="s">
        <v>99</v>
      </c>
      <c r="G80" s="2" t="s">
        <v>100</v>
      </c>
      <c r="H80" s="2" t="s">
        <v>101</v>
      </c>
      <c r="I80" s="2" t="s">
        <v>33</v>
      </c>
      <c r="J80" s="2" t="s">
        <v>34</v>
      </c>
      <c r="K80" s="3">
        <v>28620</v>
      </c>
      <c r="L80" s="4">
        <v>0.05</v>
      </c>
      <c r="M80" s="3">
        <v>1431</v>
      </c>
      <c r="N80" s="3">
        <v>30051</v>
      </c>
      <c r="O80" s="2" t="s">
        <v>25</v>
      </c>
      <c r="P80" s="2" t="s">
        <v>54</v>
      </c>
      <c r="Q80" s="2" t="s">
        <v>36</v>
      </c>
    </row>
    <row r="81" spans="1:17" x14ac:dyDescent="0.25">
      <c r="A81" s="2" t="s">
        <v>188</v>
      </c>
      <c r="B81" s="5">
        <v>46102</v>
      </c>
      <c r="C81" s="2" t="s">
        <v>108</v>
      </c>
      <c r="D81" s="2" t="s">
        <v>29</v>
      </c>
      <c r="E81" s="2">
        <v>5104</v>
      </c>
      <c r="F81" s="2" t="s">
        <v>112</v>
      </c>
      <c r="G81" s="2" t="s">
        <v>113</v>
      </c>
      <c r="H81" s="2" t="s">
        <v>114</v>
      </c>
      <c r="I81" s="2" t="s">
        <v>33</v>
      </c>
      <c r="J81" s="2" t="s">
        <v>24</v>
      </c>
      <c r="K81" s="3">
        <v>70850</v>
      </c>
      <c r="L81" s="4">
        <v>0.18</v>
      </c>
      <c r="M81" s="3">
        <v>12753</v>
      </c>
      <c r="N81" s="3">
        <v>83603</v>
      </c>
      <c r="O81" s="2" t="s">
        <v>48</v>
      </c>
      <c r="P81" s="2" t="s">
        <v>54</v>
      </c>
      <c r="Q81" s="2" t="s">
        <v>36</v>
      </c>
    </row>
    <row r="82" spans="1:17" x14ac:dyDescent="0.25">
      <c r="A82" s="2" t="s">
        <v>189</v>
      </c>
      <c r="B82" s="5">
        <v>46103</v>
      </c>
      <c r="C82" s="2" t="s">
        <v>108</v>
      </c>
      <c r="D82" s="2" t="s">
        <v>19</v>
      </c>
      <c r="E82" s="2">
        <v>4001</v>
      </c>
      <c r="F82" s="2" t="s">
        <v>20</v>
      </c>
      <c r="G82" s="2" t="s">
        <v>21</v>
      </c>
      <c r="H82" s="2" t="s">
        <v>22</v>
      </c>
      <c r="I82" s="2" t="s">
        <v>23</v>
      </c>
      <c r="J82" s="2" t="s">
        <v>24</v>
      </c>
      <c r="K82" s="3">
        <v>280000</v>
      </c>
      <c r="L82" s="4">
        <v>0.18</v>
      </c>
      <c r="M82" s="3">
        <v>50400</v>
      </c>
      <c r="N82" s="3">
        <v>330400</v>
      </c>
      <c r="O82" s="2" t="s">
        <v>25</v>
      </c>
      <c r="P82" s="2" t="s">
        <v>26</v>
      </c>
      <c r="Q82" s="2" t="s">
        <v>27</v>
      </c>
    </row>
    <row r="83" spans="1:17" x14ac:dyDescent="0.25">
      <c r="A83" s="2" t="s">
        <v>190</v>
      </c>
      <c r="B83" s="5">
        <v>46104</v>
      </c>
      <c r="C83" s="2" t="s">
        <v>108</v>
      </c>
      <c r="D83" s="2" t="s">
        <v>44</v>
      </c>
      <c r="E83" s="2">
        <v>5303</v>
      </c>
      <c r="F83" s="2" t="s">
        <v>120</v>
      </c>
      <c r="G83" s="2" t="s">
        <v>121</v>
      </c>
      <c r="H83" s="2" t="s">
        <v>122</v>
      </c>
      <c r="I83" s="2" t="s">
        <v>33</v>
      </c>
      <c r="J83" s="2" t="s">
        <v>34</v>
      </c>
      <c r="K83" s="3">
        <v>35200</v>
      </c>
      <c r="L83" s="4">
        <v>0.18</v>
      </c>
      <c r="M83" s="3">
        <v>6336</v>
      </c>
      <c r="N83" s="3">
        <v>41536</v>
      </c>
      <c r="O83" s="2" t="s">
        <v>25</v>
      </c>
      <c r="P83" s="2" t="s">
        <v>42</v>
      </c>
      <c r="Q83" s="2" t="s">
        <v>36</v>
      </c>
    </row>
    <row r="84" spans="1:17" x14ac:dyDescent="0.25">
      <c r="A84" s="2" t="s">
        <v>191</v>
      </c>
      <c r="B84" s="5">
        <v>46105</v>
      </c>
      <c r="C84" s="2" t="s">
        <v>108</v>
      </c>
      <c r="D84" s="2" t="s">
        <v>50</v>
      </c>
      <c r="E84" s="2">
        <v>5403</v>
      </c>
      <c r="F84" s="2" t="s">
        <v>124</v>
      </c>
      <c r="G84" s="2" t="s">
        <v>125</v>
      </c>
      <c r="H84" s="2" t="s">
        <v>126</v>
      </c>
      <c r="I84" s="2" t="s">
        <v>33</v>
      </c>
      <c r="J84" s="2" t="s">
        <v>24</v>
      </c>
      <c r="K84" s="3">
        <v>42770</v>
      </c>
      <c r="L84" s="4">
        <v>0.18</v>
      </c>
      <c r="M84" s="3">
        <v>7699</v>
      </c>
      <c r="N84" s="3">
        <v>50469</v>
      </c>
      <c r="O84" s="2" t="s">
        <v>25</v>
      </c>
      <c r="P84" s="2" t="s">
        <v>54</v>
      </c>
      <c r="Q84" s="2" t="s">
        <v>27</v>
      </c>
    </row>
    <row r="85" spans="1:17" x14ac:dyDescent="0.25">
      <c r="A85" s="2" t="s">
        <v>192</v>
      </c>
      <c r="B85" s="5">
        <v>46106</v>
      </c>
      <c r="C85" s="2" t="s">
        <v>108</v>
      </c>
      <c r="D85" s="2" t="s">
        <v>38</v>
      </c>
      <c r="E85" s="2">
        <v>5204</v>
      </c>
      <c r="F85" s="2" t="s">
        <v>131</v>
      </c>
      <c r="G85" s="2" t="s">
        <v>132</v>
      </c>
      <c r="H85" s="2" t="s">
        <v>133</v>
      </c>
      <c r="I85" s="2" t="s">
        <v>33</v>
      </c>
      <c r="J85" s="2" t="s">
        <v>58</v>
      </c>
      <c r="K85" s="3">
        <v>23500</v>
      </c>
      <c r="L85" s="4">
        <v>0.18</v>
      </c>
      <c r="M85" s="3">
        <v>4230</v>
      </c>
      <c r="N85" s="3">
        <v>27730</v>
      </c>
      <c r="O85" s="2" t="s">
        <v>48</v>
      </c>
      <c r="P85" s="2" t="s">
        <v>35</v>
      </c>
      <c r="Q85" s="2" t="s">
        <v>68</v>
      </c>
    </row>
    <row r="86" spans="1:17" x14ac:dyDescent="0.25">
      <c r="A86" s="2" t="s">
        <v>193</v>
      </c>
      <c r="B86" s="5">
        <v>46107</v>
      </c>
      <c r="C86" s="2" t="s">
        <v>108</v>
      </c>
      <c r="D86" s="2" t="s">
        <v>50</v>
      </c>
      <c r="E86" s="2">
        <v>4102</v>
      </c>
      <c r="F86" s="2" t="s">
        <v>104</v>
      </c>
      <c r="G86" s="2" t="s">
        <v>105</v>
      </c>
      <c r="H86" s="2" t="s">
        <v>106</v>
      </c>
      <c r="I86" s="2" t="s">
        <v>23</v>
      </c>
      <c r="J86" s="2" t="s">
        <v>24</v>
      </c>
      <c r="K86" s="3">
        <v>11640</v>
      </c>
      <c r="L86" s="4">
        <v>0</v>
      </c>
      <c r="M86" s="3">
        <v>0</v>
      </c>
      <c r="N86" s="3">
        <v>11640</v>
      </c>
      <c r="O86" s="2" t="s">
        <v>25</v>
      </c>
      <c r="P86" s="2" t="s">
        <v>54</v>
      </c>
      <c r="Q86" s="2" t="s">
        <v>68</v>
      </c>
    </row>
    <row r="87" spans="1:17" x14ac:dyDescent="0.25">
      <c r="A87" s="2" t="s">
        <v>194</v>
      </c>
      <c r="B87" s="5">
        <v>46108</v>
      </c>
      <c r="C87" s="2" t="s">
        <v>108</v>
      </c>
      <c r="D87" s="2" t="s">
        <v>19</v>
      </c>
      <c r="E87" s="2">
        <v>4001</v>
      </c>
      <c r="F87" s="2" t="s">
        <v>20</v>
      </c>
      <c r="G87" s="2" t="s">
        <v>128</v>
      </c>
      <c r="H87" s="2" t="s">
        <v>129</v>
      </c>
      <c r="I87" s="2" t="s">
        <v>23</v>
      </c>
      <c r="J87" s="2" t="s">
        <v>24</v>
      </c>
      <c r="K87" s="3">
        <v>300000</v>
      </c>
      <c r="L87" s="4">
        <v>0.18</v>
      </c>
      <c r="M87" s="3">
        <v>54000</v>
      </c>
      <c r="N87" s="3">
        <v>354000</v>
      </c>
      <c r="O87" s="2" t="s">
        <v>25</v>
      </c>
      <c r="P87" s="2" t="s">
        <v>26</v>
      </c>
      <c r="Q87" s="2" t="s">
        <v>27</v>
      </c>
    </row>
    <row r="88" spans="1:17" x14ac:dyDescent="0.25">
      <c r="A88" s="2" t="s">
        <v>195</v>
      </c>
      <c r="B88" s="5">
        <v>46109</v>
      </c>
      <c r="C88" s="2" t="s">
        <v>108</v>
      </c>
      <c r="D88" s="2" t="s">
        <v>38</v>
      </c>
      <c r="E88" s="2">
        <v>5201</v>
      </c>
      <c r="F88" s="2" t="s">
        <v>39</v>
      </c>
      <c r="G88" s="2" t="s">
        <v>40</v>
      </c>
      <c r="H88" s="2" t="s">
        <v>41</v>
      </c>
      <c r="I88" s="2" t="s">
        <v>33</v>
      </c>
      <c r="J88" s="2" t="s">
        <v>24</v>
      </c>
      <c r="K88" s="3">
        <v>82400</v>
      </c>
      <c r="L88" s="4">
        <v>0.18</v>
      </c>
      <c r="M88" s="3">
        <v>14832</v>
      </c>
      <c r="N88" s="3">
        <v>97232</v>
      </c>
      <c r="O88" s="2" t="s">
        <v>25</v>
      </c>
      <c r="P88" s="2" t="s">
        <v>42</v>
      </c>
      <c r="Q88" s="2" t="s">
        <v>27</v>
      </c>
    </row>
    <row r="89" spans="1:17" x14ac:dyDescent="0.25">
      <c r="A89" s="2" t="s">
        <v>196</v>
      </c>
      <c r="B89" s="5">
        <v>46110</v>
      </c>
      <c r="C89" s="2" t="s">
        <v>108</v>
      </c>
      <c r="D89" s="2" t="s">
        <v>44</v>
      </c>
      <c r="E89" s="2">
        <v>5301</v>
      </c>
      <c r="F89" s="2" t="s">
        <v>45</v>
      </c>
      <c r="G89" s="2" t="s">
        <v>46</v>
      </c>
      <c r="H89" s="2" t="s">
        <v>47</v>
      </c>
      <c r="I89" s="2" t="s">
        <v>33</v>
      </c>
      <c r="J89" s="2" t="s">
        <v>24</v>
      </c>
      <c r="K89" s="3">
        <v>31800</v>
      </c>
      <c r="L89" s="4">
        <v>0.18</v>
      </c>
      <c r="M89" s="3">
        <v>5724</v>
      </c>
      <c r="N89" s="3">
        <v>37524</v>
      </c>
      <c r="O89" s="2" t="s">
        <v>48</v>
      </c>
      <c r="P89" s="2" t="s">
        <v>26</v>
      </c>
      <c r="Q89" s="2" t="s">
        <v>36</v>
      </c>
    </row>
    <row r="90" spans="1:17" x14ac:dyDescent="0.25">
      <c r="A90" s="2" t="s">
        <v>197</v>
      </c>
      <c r="B90" s="5">
        <v>46111</v>
      </c>
      <c r="C90" s="2" t="s">
        <v>108</v>
      </c>
      <c r="D90" s="2" t="s">
        <v>50</v>
      </c>
      <c r="E90" s="2">
        <v>5401</v>
      </c>
      <c r="F90" s="2" t="s">
        <v>51</v>
      </c>
      <c r="G90" s="2" t="s">
        <v>52</v>
      </c>
      <c r="H90" s="2" t="s">
        <v>53</v>
      </c>
      <c r="I90" s="2" t="s">
        <v>33</v>
      </c>
      <c r="J90" s="2" t="s">
        <v>24</v>
      </c>
      <c r="K90" s="3">
        <v>65400</v>
      </c>
      <c r="L90" s="4">
        <v>0.18</v>
      </c>
      <c r="M90" s="3">
        <v>11772</v>
      </c>
      <c r="N90" s="3">
        <v>77172</v>
      </c>
      <c r="O90" s="2" t="s">
        <v>25</v>
      </c>
      <c r="P90" s="2" t="s">
        <v>54</v>
      </c>
      <c r="Q90" s="2" t="s">
        <v>27</v>
      </c>
    </row>
    <row r="91" spans="1:17" x14ac:dyDescent="0.25">
      <c r="A91" s="2" t="s">
        <v>198</v>
      </c>
      <c r="B91" s="5">
        <v>46112</v>
      </c>
      <c r="C91" s="2" t="s">
        <v>108</v>
      </c>
      <c r="D91" s="2" t="s">
        <v>60</v>
      </c>
      <c r="E91" s="2">
        <v>5501</v>
      </c>
      <c r="F91" s="2" t="s">
        <v>61</v>
      </c>
      <c r="G91" s="2" t="s">
        <v>62</v>
      </c>
      <c r="H91" s="2" t="s">
        <v>63</v>
      </c>
      <c r="I91" s="2" t="s">
        <v>33</v>
      </c>
      <c r="J91" s="2" t="s">
        <v>34</v>
      </c>
      <c r="K91" s="3">
        <v>80640</v>
      </c>
      <c r="L91" s="4">
        <v>0.18</v>
      </c>
      <c r="M91" s="3">
        <v>14515</v>
      </c>
      <c r="N91" s="3">
        <v>95155</v>
      </c>
      <c r="O91" s="2" t="s">
        <v>25</v>
      </c>
      <c r="P91" s="2" t="s">
        <v>42</v>
      </c>
      <c r="Q91" s="2" t="s">
        <v>27</v>
      </c>
    </row>
    <row r="92" spans="1:17" x14ac:dyDescent="0.25">
      <c r="A92" s="2" t="s">
        <v>199</v>
      </c>
      <c r="B92" s="5">
        <v>46113</v>
      </c>
      <c r="C92" s="2" t="s">
        <v>200</v>
      </c>
      <c r="D92" s="2" t="s">
        <v>19</v>
      </c>
      <c r="E92" s="2">
        <v>4003</v>
      </c>
      <c r="F92" s="2" t="s">
        <v>20</v>
      </c>
      <c r="G92" s="2" t="s">
        <v>92</v>
      </c>
      <c r="H92" s="2" t="s">
        <v>93</v>
      </c>
      <c r="I92" s="2" t="s">
        <v>23</v>
      </c>
      <c r="J92" s="2" t="s">
        <v>24</v>
      </c>
      <c r="K92" s="3">
        <v>83600</v>
      </c>
      <c r="L92" s="4">
        <v>0.18</v>
      </c>
      <c r="M92" s="3">
        <v>15048</v>
      </c>
      <c r="N92" s="3">
        <v>98648</v>
      </c>
      <c r="O92" s="2" t="s">
        <v>25</v>
      </c>
      <c r="P92" s="2" t="s">
        <v>35</v>
      </c>
      <c r="Q92" s="2" t="s">
        <v>36</v>
      </c>
    </row>
    <row r="93" spans="1:17" x14ac:dyDescent="0.25">
      <c r="A93" s="2" t="s">
        <v>201</v>
      </c>
      <c r="B93" s="5">
        <v>46114</v>
      </c>
      <c r="C93" s="2" t="s">
        <v>200</v>
      </c>
      <c r="D93" s="2" t="s">
        <v>50</v>
      </c>
      <c r="E93" s="2">
        <v>4101</v>
      </c>
      <c r="F93" s="2" t="s">
        <v>74</v>
      </c>
      <c r="G93" s="2" t="s">
        <v>75</v>
      </c>
      <c r="H93" s="2" t="s">
        <v>76</v>
      </c>
      <c r="I93" s="2" t="s">
        <v>23</v>
      </c>
      <c r="J93" s="2" t="s">
        <v>24</v>
      </c>
      <c r="K93" s="3">
        <v>16380</v>
      </c>
      <c r="L93" s="4">
        <v>0</v>
      </c>
      <c r="M93" s="3">
        <v>0</v>
      </c>
      <c r="N93" s="3">
        <v>16380</v>
      </c>
      <c r="O93" s="2" t="s">
        <v>48</v>
      </c>
      <c r="P93" s="2" t="s">
        <v>42</v>
      </c>
      <c r="Q93" s="2" t="s">
        <v>68</v>
      </c>
    </row>
    <row r="94" spans="1:17" x14ac:dyDescent="0.25">
      <c r="A94" s="2" t="s">
        <v>202</v>
      </c>
      <c r="B94" s="5">
        <v>46115</v>
      </c>
      <c r="C94" s="2" t="s">
        <v>200</v>
      </c>
      <c r="D94" s="2" t="s">
        <v>44</v>
      </c>
      <c r="E94" s="2">
        <v>5302</v>
      </c>
      <c r="F94" s="2" t="s">
        <v>82</v>
      </c>
      <c r="G94" s="2" t="s">
        <v>83</v>
      </c>
      <c r="H94" s="2" t="s">
        <v>84</v>
      </c>
      <c r="I94" s="2" t="s">
        <v>33</v>
      </c>
      <c r="J94" s="2" t="s">
        <v>34</v>
      </c>
      <c r="K94" s="3">
        <v>20680</v>
      </c>
      <c r="L94" s="4">
        <v>0.18</v>
      </c>
      <c r="M94" s="3">
        <v>3722</v>
      </c>
      <c r="N94" s="3">
        <v>24402</v>
      </c>
      <c r="O94" s="2" t="s">
        <v>25</v>
      </c>
      <c r="P94" s="2" t="s">
        <v>35</v>
      </c>
      <c r="Q94" s="2" t="s">
        <v>36</v>
      </c>
    </row>
    <row r="95" spans="1:17" x14ac:dyDescent="0.25">
      <c r="A95" s="2" t="s">
        <v>203</v>
      </c>
      <c r="B95" s="5">
        <v>46116</v>
      </c>
      <c r="C95" s="2" t="s">
        <v>200</v>
      </c>
      <c r="D95" s="2" t="s">
        <v>60</v>
      </c>
      <c r="E95" s="2">
        <v>5502</v>
      </c>
      <c r="F95" s="2" t="s">
        <v>87</v>
      </c>
      <c r="G95" s="2" t="s">
        <v>88</v>
      </c>
      <c r="H95" s="2" t="s">
        <v>89</v>
      </c>
      <c r="I95" s="2" t="s">
        <v>33</v>
      </c>
      <c r="J95" s="2" t="s">
        <v>24</v>
      </c>
      <c r="K95" s="3">
        <v>145500</v>
      </c>
      <c r="L95" s="4">
        <v>0.18</v>
      </c>
      <c r="M95" s="3">
        <v>26190</v>
      </c>
      <c r="N95" s="3">
        <v>171690</v>
      </c>
      <c r="O95" s="2" t="s">
        <v>25</v>
      </c>
      <c r="P95" s="2" t="s">
        <v>54</v>
      </c>
      <c r="Q95" s="2" t="s">
        <v>27</v>
      </c>
    </row>
    <row r="96" spans="1:17" x14ac:dyDescent="0.25">
      <c r="A96" s="2" t="s">
        <v>204</v>
      </c>
      <c r="B96" s="5">
        <v>46117</v>
      </c>
      <c r="C96" s="2" t="s">
        <v>200</v>
      </c>
      <c r="D96" s="2" t="s">
        <v>50</v>
      </c>
      <c r="E96" s="2">
        <v>5402</v>
      </c>
      <c r="F96" s="2" t="s">
        <v>95</v>
      </c>
      <c r="G96" s="2" t="s">
        <v>96</v>
      </c>
      <c r="H96" s="2" t="s">
        <v>97</v>
      </c>
      <c r="I96" s="2" t="s">
        <v>33</v>
      </c>
      <c r="J96" s="2" t="s">
        <v>24</v>
      </c>
      <c r="K96" s="3">
        <v>55000</v>
      </c>
      <c r="L96" s="4">
        <v>0.18</v>
      </c>
      <c r="M96" s="3">
        <v>9900</v>
      </c>
      <c r="N96" s="3">
        <v>64900</v>
      </c>
      <c r="O96" s="2" t="s">
        <v>25</v>
      </c>
      <c r="P96" s="2" t="s">
        <v>42</v>
      </c>
      <c r="Q96" s="2" t="s">
        <v>27</v>
      </c>
    </row>
    <row r="97" spans="1:17" x14ac:dyDescent="0.25">
      <c r="A97" s="2" t="s">
        <v>205</v>
      </c>
      <c r="B97" s="5">
        <v>46118</v>
      </c>
      <c r="C97" s="2" t="s">
        <v>200</v>
      </c>
      <c r="D97" s="2" t="s">
        <v>19</v>
      </c>
      <c r="E97" s="2">
        <v>4003</v>
      </c>
      <c r="F97" s="2" t="s">
        <v>20</v>
      </c>
      <c r="G97" s="2" t="s">
        <v>79</v>
      </c>
      <c r="H97" s="2" t="s">
        <v>80</v>
      </c>
      <c r="I97" s="2" t="s">
        <v>23</v>
      </c>
      <c r="J97" s="2" t="s">
        <v>24</v>
      </c>
      <c r="K97" s="3">
        <v>180250</v>
      </c>
      <c r="L97" s="4">
        <v>0.18</v>
      </c>
      <c r="M97" s="3">
        <v>32445</v>
      </c>
      <c r="N97" s="3">
        <v>212695</v>
      </c>
      <c r="O97" s="2" t="s">
        <v>48</v>
      </c>
      <c r="P97" s="2" t="s">
        <v>26</v>
      </c>
      <c r="Q97" s="2" t="s">
        <v>27</v>
      </c>
    </row>
    <row r="98" spans="1:17" x14ac:dyDescent="0.25">
      <c r="A98" s="2" t="s">
        <v>206</v>
      </c>
      <c r="B98" s="5">
        <v>46119</v>
      </c>
      <c r="C98" s="2" t="s">
        <v>200</v>
      </c>
      <c r="D98" s="2" t="s">
        <v>29</v>
      </c>
      <c r="E98" s="2">
        <v>5104</v>
      </c>
      <c r="F98" s="2" t="s">
        <v>112</v>
      </c>
      <c r="G98" s="2" t="s">
        <v>113</v>
      </c>
      <c r="H98" s="2" t="s">
        <v>114</v>
      </c>
      <c r="I98" s="2" t="s">
        <v>33</v>
      </c>
      <c r="J98" s="2" t="s">
        <v>24</v>
      </c>
      <c r="K98" s="3">
        <v>68900</v>
      </c>
      <c r="L98" s="4">
        <v>0.18</v>
      </c>
      <c r="M98" s="3">
        <v>12402</v>
      </c>
      <c r="N98" s="3">
        <v>81302</v>
      </c>
      <c r="O98" s="2" t="s">
        <v>25</v>
      </c>
      <c r="P98" s="2" t="s">
        <v>54</v>
      </c>
      <c r="Q98" s="2" t="s">
        <v>36</v>
      </c>
    </row>
    <row r="99" spans="1:17" x14ac:dyDescent="0.25">
      <c r="A99" s="2" t="s">
        <v>207</v>
      </c>
      <c r="B99" s="5">
        <v>46120</v>
      </c>
      <c r="C99" s="2" t="s">
        <v>200</v>
      </c>
      <c r="D99" s="2" t="s">
        <v>60</v>
      </c>
      <c r="E99" s="2">
        <v>5501</v>
      </c>
      <c r="F99" s="2" t="s">
        <v>61</v>
      </c>
      <c r="G99" s="2" t="s">
        <v>117</v>
      </c>
      <c r="H99" s="2" t="s">
        <v>118</v>
      </c>
      <c r="I99" s="2" t="s">
        <v>33</v>
      </c>
      <c r="J99" s="2" t="s">
        <v>34</v>
      </c>
      <c r="K99" s="3">
        <v>78480</v>
      </c>
      <c r="L99" s="4">
        <v>0.18</v>
      </c>
      <c r="M99" s="3">
        <v>14126</v>
      </c>
      <c r="N99" s="3">
        <v>92606</v>
      </c>
      <c r="O99" s="2" t="s">
        <v>25</v>
      </c>
      <c r="P99" s="2" t="s">
        <v>35</v>
      </c>
      <c r="Q99" s="2" t="s">
        <v>27</v>
      </c>
    </row>
    <row r="100" spans="1:17" x14ac:dyDescent="0.25">
      <c r="A100" s="2" t="s">
        <v>208</v>
      </c>
      <c r="B100" s="5">
        <v>46121</v>
      </c>
      <c r="C100" s="2" t="s">
        <v>200</v>
      </c>
      <c r="D100" s="2" t="s">
        <v>19</v>
      </c>
      <c r="E100" s="2">
        <v>4003</v>
      </c>
      <c r="F100" s="2" t="s">
        <v>20</v>
      </c>
      <c r="G100" s="2" t="s">
        <v>92</v>
      </c>
      <c r="H100" s="2" t="s">
        <v>93</v>
      </c>
      <c r="I100" s="2" t="s">
        <v>23</v>
      </c>
      <c r="J100" s="2" t="s">
        <v>24</v>
      </c>
      <c r="K100" s="3">
        <v>106400</v>
      </c>
      <c r="L100" s="4">
        <v>0.18</v>
      </c>
      <c r="M100" s="3">
        <v>19152</v>
      </c>
      <c r="N100" s="3">
        <v>125552</v>
      </c>
      <c r="O100" s="2" t="s">
        <v>25</v>
      </c>
      <c r="P100" s="2" t="s">
        <v>35</v>
      </c>
      <c r="Q100" s="2" t="s">
        <v>36</v>
      </c>
    </row>
    <row r="101" spans="1:17" x14ac:dyDescent="0.25">
      <c r="A101" s="2" t="s">
        <v>209</v>
      </c>
      <c r="B101" s="5">
        <v>46122</v>
      </c>
      <c r="C101" s="2" t="s">
        <v>200</v>
      </c>
      <c r="D101" s="2" t="s">
        <v>50</v>
      </c>
      <c r="E101" s="2">
        <v>5403</v>
      </c>
      <c r="F101" s="2" t="s">
        <v>124</v>
      </c>
      <c r="G101" s="2" t="s">
        <v>125</v>
      </c>
      <c r="H101" s="2" t="s">
        <v>126</v>
      </c>
      <c r="I101" s="2" t="s">
        <v>33</v>
      </c>
      <c r="J101" s="2" t="s">
        <v>24</v>
      </c>
      <c r="K101" s="3">
        <v>41360</v>
      </c>
      <c r="L101" s="4">
        <v>0.18</v>
      </c>
      <c r="M101" s="3">
        <v>7445</v>
      </c>
      <c r="N101" s="3">
        <v>48805</v>
      </c>
      <c r="O101" s="2" t="s">
        <v>48</v>
      </c>
      <c r="P101" s="2" t="s">
        <v>54</v>
      </c>
      <c r="Q101" s="2" t="s">
        <v>27</v>
      </c>
    </row>
    <row r="102" spans="1:17" x14ac:dyDescent="0.25">
      <c r="A102" s="2" t="s">
        <v>210</v>
      </c>
      <c r="B102" s="5">
        <v>46123</v>
      </c>
      <c r="C102" s="2" t="s">
        <v>200</v>
      </c>
      <c r="D102" s="2" t="s">
        <v>50</v>
      </c>
      <c r="E102" s="2">
        <v>4102</v>
      </c>
      <c r="F102" s="2" t="s">
        <v>104</v>
      </c>
      <c r="G102" s="2" t="s">
        <v>105</v>
      </c>
      <c r="H102" s="2" t="s">
        <v>106</v>
      </c>
      <c r="I102" s="2" t="s">
        <v>23</v>
      </c>
      <c r="J102" s="2" t="s">
        <v>24</v>
      </c>
      <c r="K102" s="3">
        <v>10920</v>
      </c>
      <c r="L102" s="4">
        <v>0</v>
      </c>
      <c r="M102" s="3">
        <v>0</v>
      </c>
      <c r="N102" s="3">
        <v>10920</v>
      </c>
      <c r="O102" s="2" t="s">
        <v>25</v>
      </c>
      <c r="P102" s="2" t="s">
        <v>54</v>
      </c>
      <c r="Q102" s="2" t="s">
        <v>68</v>
      </c>
    </row>
    <row r="103" spans="1:17" x14ac:dyDescent="0.25">
      <c r="A103" s="2" t="s">
        <v>211</v>
      </c>
      <c r="B103" s="5">
        <v>46124</v>
      </c>
      <c r="C103" s="2" t="s">
        <v>200</v>
      </c>
      <c r="D103" s="2" t="s">
        <v>29</v>
      </c>
      <c r="E103" s="2">
        <v>5105</v>
      </c>
      <c r="F103" s="2" t="s">
        <v>135</v>
      </c>
      <c r="G103" s="2" t="s">
        <v>136</v>
      </c>
      <c r="H103" s="2" t="s">
        <v>137</v>
      </c>
      <c r="I103" s="2" t="s">
        <v>33</v>
      </c>
      <c r="J103" s="2" t="s">
        <v>24</v>
      </c>
      <c r="K103" s="3">
        <v>47000</v>
      </c>
      <c r="L103" s="4">
        <v>0.18</v>
      </c>
      <c r="M103" s="3">
        <v>8460</v>
      </c>
      <c r="N103" s="3">
        <v>55460</v>
      </c>
      <c r="O103" s="2" t="s">
        <v>25</v>
      </c>
      <c r="P103" s="2" t="s">
        <v>42</v>
      </c>
      <c r="Q103" s="2" t="s">
        <v>36</v>
      </c>
    </row>
    <row r="104" spans="1:17" x14ac:dyDescent="0.25">
      <c r="A104" s="2" t="s">
        <v>212</v>
      </c>
      <c r="B104" s="5">
        <v>46125</v>
      </c>
      <c r="C104" s="2" t="s">
        <v>200</v>
      </c>
      <c r="D104" s="2" t="s">
        <v>29</v>
      </c>
      <c r="E104" s="2">
        <v>5102</v>
      </c>
      <c r="F104" s="2" t="s">
        <v>30</v>
      </c>
      <c r="G104" s="2" t="s">
        <v>31</v>
      </c>
      <c r="H104" s="2" t="s">
        <v>32</v>
      </c>
      <c r="I104" s="2" t="s">
        <v>33</v>
      </c>
      <c r="J104" s="2" t="s">
        <v>34</v>
      </c>
      <c r="K104" s="3">
        <v>43650</v>
      </c>
      <c r="L104" s="4">
        <v>0.18</v>
      </c>
      <c r="M104" s="3">
        <v>7857</v>
      </c>
      <c r="N104" s="3">
        <v>51507</v>
      </c>
      <c r="O104" s="2" t="s">
        <v>25</v>
      </c>
      <c r="P104" s="2" t="s">
        <v>35</v>
      </c>
      <c r="Q104" s="2" t="s">
        <v>36</v>
      </c>
    </row>
    <row r="105" spans="1:17" x14ac:dyDescent="0.25">
      <c r="A105" s="2" t="s">
        <v>213</v>
      </c>
      <c r="B105" s="5">
        <v>46126</v>
      </c>
      <c r="C105" s="2" t="s">
        <v>200</v>
      </c>
      <c r="D105" s="2" t="s">
        <v>38</v>
      </c>
      <c r="E105" s="2">
        <v>5201</v>
      </c>
      <c r="F105" s="2" t="s">
        <v>39</v>
      </c>
      <c r="G105" s="2" t="s">
        <v>40</v>
      </c>
      <c r="H105" s="2" t="s">
        <v>41</v>
      </c>
      <c r="I105" s="2" t="s">
        <v>33</v>
      </c>
      <c r="J105" s="2" t="s">
        <v>24</v>
      </c>
      <c r="K105" s="3">
        <v>80000</v>
      </c>
      <c r="L105" s="4">
        <v>0.18</v>
      </c>
      <c r="M105" s="3">
        <v>14400</v>
      </c>
      <c r="N105" s="3">
        <v>94400</v>
      </c>
      <c r="O105" s="2" t="s">
        <v>48</v>
      </c>
      <c r="P105" s="2" t="s">
        <v>42</v>
      </c>
      <c r="Q105" s="2" t="s">
        <v>27</v>
      </c>
    </row>
    <row r="106" spans="1:17" x14ac:dyDescent="0.25">
      <c r="A106" s="2" t="s">
        <v>214</v>
      </c>
      <c r="B106" s="5">
        <v>46127</v>
      </c>
      <c r="C106" s="2" t="s">
        <v>200</v>
      </c>
      <c r="D106" s="2" t="s">
        <v>44</v>
      </c>
      <c r="E106" s="2">
        <v>5301</v>
      </c>
      <c r="F106" s="2" t="s">
        <v>45</v>
      </c>
      <c r="G106" s="2" t="s">
        <v>46</v>
      </c>
      <c r="H106" s="2" t="s">
        <v>47</v>
      </c>
      <c r="I106" s="2" t="s">
        <v>33</v>
      </c>
      <c r="J106" s="2" t="s">
        <v>24</v>
      </c>
      <c r="K106" s="3">
        <v>30900</v>
      </c>
      <c r="L106" s="4">
        <v>0.18</v>
      </c>
      <c r="M106" s="3">
        <v>5562</v>
      </c>
      <c r="N106" s="3">
        <v>36462</v>
      </c>
      <c r="O106" s="2" t="s">
        <v>25</v>
      </c>
      <c r="P106" s="2" t="s">
        <v>26</v>
      </c>
      <c r="Q106" s="2" t="s">
        <v>36</v>
      </c>
    </row>
    <row r="107" spans="1:17" x14ac:dyDescent="0.25">
      <c r="A107" s="2" t="s">
        <v>215</v>
      </c>
      <c r="B107" s="5">
        <v>46128</v>
      </c>
      <c r="C107" s="2" t="s">
        <v>200</v>
      </c>
      <c r="D107" s="2" t="s">
        <v>19</v>
      </c>
      <c r="E107" s="2">
        <v>4002</v>
      </c>
      <c r="F107" s="2" t="s">
        <v>20</v>
      </c>
      <c r="G107" s="2" t="s">
        <v>56</v>
      </c>
      <c r="H107" s="2" t="s">
        <v>57</v>
      </c>
      <c r="I107" s="2" t="s">
        <v>23</v>
      </c>
      <c r="J107" s="2" t="s">
        <v>58</v>
      </c>
      <c r="K107" s="3">
        <v>127200</v>
      </c>
      <c r="L107" s="4">
        <v>0.18</v>
      </c>
      <c r="M107" s="3">
        <v>22896</v>
      </c>
      <c r="N107" s="3">
        <v>150096</v>
      </c>
      <c r="O107" s="2" t="s">
        <v>25</v>
      </c>
      <c r="P107" s="2" t="s">
        <v>35</v>
      </c>
      <c r="Q107" s="2" t="s">
        <v>27</v>
      </c>
    </row>
    <row r="108" spans="1:17" x14ac:dyDescent="0.25">
      <c r="A108" s="2" t="s">
        <v>216</v>
      </c>
      <c r="B108" s="5">
        <v>46129</v>
      </c>
      <c r="C108" s="2" t="s">
        <v>200</v>
      </c>
      <c r="D108" s="2" t="s">
        <v>60</v>
      </c>
      <c r="E108" s="2">
        <v>5501</v>
      </c>
      <c r="F108" s="2" t="s">
        <v>61</v>
      </c>
      <c r="G108" s="2" t="s">
        <v>62</v>
      </c>
      <c r="H108" s="2" t="s">
        <v>63</v>
      </c>
      <c r="I108" s="2" t="s">
        <v>33</v>
      </c>
      <c r="J108" s="2" t="s">
        <v>34</v>
      </c>
      <c r="K108" s="3">
        <v>78480</v>
      </c>
      <c r="L108" s="4">
        <v>0.18</v>
      </c>
      <c r="M108" s="3">
        <v>14126</v>
      </c>
      <c r="N108" s="3">
        <v>92606</v>
      </c>
      <c r="O108" s="2" t="s">
        <v>25</v>
      </c>
      <c r="P108" s="2" t="s">
        <v>42</v>
      </c>
      <c r="Q108" s="2" t="s">
        <v>27</v>
      </c>
    </row>
    <row r="109" spans="1:17" x14ac:dyDescent="0.25">
      <c r="A109" s="2" t="s">
        <v>217</v>
      </c>
      <c r="B109" s="5">
        <v>46130</v>
      </c>
      <c r="C109" s="2" t="s">
        <v>200</v>
      </c>
      <c r="D109" s="2" t="s">
        <v>38</v>
      </c>
      <c r="E109" s="2">
        <v>5202</v>
      </c>
      <c r="F109" s="2" t="s">
        <v>65</v>
      </c>
      <c r="G109" s="2" t="s">
        <v>66</v>
      </c>
      <c r="H109" s="2" t="s">
        <v>67</v>
      </c>
      <c r="I109" s="2" t="s">
        <v>33</v>
      </c>
      <c r="J109" s="2" t="s">
        <v>58</v>
      </c>
      <c r="K109" s="3">
        <v>16800</v>
      </c>
      <c r="L109" s="4">
        <v>0.18</v>
      </c>
      <c r="M109" s="3">
        <v>3024</v>
      </c>
      <c r="N109" s="3">
        <v>19824</v>
      </c>
      <c r="O109" s="2" t="s">
        <v>48</v>
      </c>
      <c r="P109" s="2" t="s">
        <v>26</v>
      </c>
      <c r="Q109" s="2" t="s">
        <v>68</v>
      </c>
    </row>
    <row r="110" spans="1:17" x14ac:dyDescent="0.25">
      <c r="A110" s="2" t="s">
        <v>218</v>
      </c>
      <c r="B110" s="5">
        <v>46131</v>
      </c>
      <c r="C110" s="2" t="s">
        <v>200</v>
      </c>
      <c r="D110" s="2" t="s">
        <v>29</v>
      </c>
      <c r="E110" s="2">
        <v>5103</v>
      </c>
      <c r="F110" s="2" t="s">
        <v>70</v>
      </c>
      <c r="G110" s="2" t="s">
        <v>71</v>
      </c>
      <c r="H110" s="2" t="s">
        <v>72</v>
      </c>
      <c r="I110" s="2" t="s">
        <v>33</v>
      </c>
      <c r="J110" s="2" t="s">
        <v>24</v>
      </c>
      <c r="K110" s="3">
        <v>79200</v>
      </c>
      <c r="L110" s="4">
        <v>0.18</v>
      </c>
      <c r="M110" s="3">
        <v>14256</v>
      </c>
      <c r="N110" s="3">
        <v>93456</v>
      </c>
      <c r="O110" s="2" t="s">
        <v>25</v>
      </c>
      <c r="P110" s="2" t="s">
        <v>54</v>
      </c>
      <c r="Q110" s="2" t="s">
        <v>27</v>
      </c>
    </row>
    <row r="111" spans="1:17" x14ac:dyDescent="0.25">
      <c r="A111" s="2" t="s">
        <v>219</v>
      </c>
      <c r="B111" s="5">
        <v>46132</v>
      </c>
      <c r="C111" s="2" t="s">
        <v>200</v>
      </c>
      <c r="D111" s="2" t="s">
        <v>44</v>
      </c>
      <c r="E111" s="2">
        <v>5302</v>
      </c>
      <c r="F111" s="2" t="s">
        <v>82</v>
      </c>
      <c r="G111" s="2" t="s">
        <v>83</v>
      </c>
      <c r="H111" s="2" t="s">
        <v>84</v>
      </c>
      <c r="I111" s="2" t="s">
        <v>33</v>
      </c>
      <c r="J111" s="2" t="s">
        <v>34</v>
      </c>
      <c r="K111" s="3">
        <v>20020</v>
      </c>
      <c r="L111" s="4">
        <v>0.18</v>
      </c>
      <c r="M111" s="3">
        <v>3604</v>
      </c>
      <c r="N111" s="3">
        <v>23624</v>
      </c>
      <c r="O111" s="2" t="s">
        <v>25</v>
      </c>
      <c r="P111" s="2" t="s">
        <v>35</v>
      </c>
      <c r="Q111" s="2" t="s">
        <v>36</v>
      </c>
    </row>
    <row r="112" spans="1:17" x14ac:dyDescent="0.25">
      <c r="A112" s="2" t="s">
        <v>220</v>
      </c>
      <c r="B112" s="5">
        <v>46133</v>
      </c>
      <c r="C112" s="2" t="s">
        <v>200</v>
      </c>
      <c r="D112" s="2" t="s">
        <v>19</v>
      </c>
      <c r="E112" s="2">
        <v>4002</v>
      </c>
      <c r="F112" s="2" t="s">
        <v>20</v>
      </c>
      <c r="G112" s="2" t="s">
        <v>109</v>
      </c>
      <c r="H112" s="2" t="s">
        <v>110</v>
      </c>
      <c r="I112" s="2" t="s">
        <v>23</v>
      </c>
      <c r="J112" s="2" t="s">
        <v>24</v>
      </c>
      <c r="K112" s="3">
        <v>197400</v>
      </c>
      <c r="L112" s="4">
        <v>0.18</v>
      </c>
      <c r="M112" s="3">
        <v>35532</v>
      </c>
      <c r="N112" s="3">
        <v>232932</v>
      </c>
      <c r="O112" s="2" t="s">
        <v>25</v>
      </c>
      <c r="P112" s="2" t="s">
        <v>42</v>
      </c>
      <c r="Q112" s="2" t="s">
        <v>27</v>
      </c>
    </row>
    <row r="113" spans="1:17" x14ac:dyDescent="0.25">
      <c r="A113" s="2" t="s">
        <v>221</v>
      </c>
      <c r="B113" s="5">
        <v>46134</v>
      </c>
      <c r="C113" s="2" t="s">
        <v>200</v>
      </c>
      <c r="D113" s="2" t="s">
        <v>50</v>
      </c>
      <c r="E113" s="2">
        <v>5402</v>
      </c>
      <c r="F113" s="2" t="s">
        <v>95</v>
      </c>
      <c r="G113" s="2" t="s">
        <v>96</v>
      </c>
      <c r="H113" s="2" t="s">
        <v>97</v>
      </c>
      <c r="I113" s="2" t="s">
        <v>33</v>
      </c>
      <c r="J113" s="2" t="s">
        <v>24</v>
      </c>
      <c r="K113" s="3">
        <v>53350</v>
      </c>
      <c r="L113" s="4">
        <v>0.18</v>
      </c>
      <c r="M113" s="3">
        <v>9603</v>
      </c>
      <c r="N113" s="3">
        <v>62953</v>
      </c>
      <c r="O113" s="2" t="s">
        <v>48</v>
      </c>
      <c r="P113" s="2" t="s">
        <v>42</v>
      </c>
      <c r="Q113" s="2" t="s">
        <v>27</v>
      </c>
    </row>
    <row r="114" spans="1:17" x14ac:dyDescent="0.25">
      <c r="A114" s="2" t="s">
        <v>222</v>
      </c>
      <c r="B114" s="5">
        <v>46135</v>
      </c>
      <c r="C114" s="2" t="s">
        <v>200</v>
      </c>
      <c r="D114" s="2" t="s">
        <v>19</v>
      </c>
      <c r="E114" s="2">
        <v>4001</v>
      </c>
      <c r="F114" s="2" t="s">
        <v>20</v>
      </c>
      <c r="G114" s="2" t="s">
        <v>21</v>
      </c>
      <c r="H114" s="2" t="s">
        <v>22</v>
      </c>
      <c r="I114" s="2" t="s">
        <v>23</v>
      </c>
      <c r="J114" s="2" t="s">
        <v>24</v>
      </c>
      <c r="K114" s="3">
        <v>250000</v>
      </c>
      <c r="L114" s="4">
        <v>0.18</v>
      </c>
      <c r="M114" s="3">
        <v>45000</v>
      </c>
      <c r="N114" s="3">
        <v>295000</v>
      </c>
      <c r="O114" s="2" t="s">
        <v>25</v>
      </c>
      <c r="P114" s="2" t="s">
        <v>26</v>
      </c>
      <c r="Q114" s="2" t="s">
        <v>27</v>
      </c>
    </row>
    <row r="115" spans="1:17" x14ac:dyDescent="0.25">
      <c r="A115" s="2" t="s">
        <v>223</v>
      </c>
      <c r="B115" s="5">
        <v>46136</v>
      </c>
      <c r="C115" s="2" t="s">
        <v>200</v>
      </c>
      <c r="D115" s="2" t="s">
        <v>29</v>
      </c>
      <c r="E115" s="2">
        <v>5104</v>
      </c>
      <c r="F115" s="2" t="s">
        <v>112</v>
      </c>
      <c r="G115" s="2" t="s">
        <v>113</v>
      </c>
      <c r="H115" s="2" t="s">
        <v>114</v>
      </c>
      <c r="I115" s="2" t="s">
        <v>33</v>
      </c>
      <c r="J115" s="2" t="s">
        <v>24</v>
      </c>
      <c r="K115" s="3">
        <v>66950</v>
      </c>
      <c r="L115" s="4">
        <v>0.18</v>
      </c>
      <c r="M115" s="3">
        <v>12051</v>
      </c>
      <c r="N115" s="3">
        <v>79001</v>
      </c>
      <c r="O115" s="2" t="s">
        <v>25</v>
      </c>
      <c r="P115" s="2" t="s">
        <v>54</v>
      </c>
      <c r="Q115" s="2" t="s">
        <v>36</v>
      </c>
    </row>
    <row r="116" spans="1:17" x14ac:dyDescent="0.25">
      <c r="A116" s="2" t="s">
        <v>224</v>
      </c>
      <c r="B116" s="5">
        <v>46137</v>
      </c>
      <c r="C116" s="2" t="s">
        <v>200</v>
      </c>
      <c r="D116" s="2" t="s">
        <v>60</v>
      </c>
      <c r="E116" s="2">
        <v>5501</v>
      </c>
      <c r="F116" s="2" t="s">
        <v>61</v>
      </c>
      <c r="G116" s="2" t="s">
        <v>117</v>
      </c>
      <c r="H116" s="2" t="s">
        <v>118</v>
      </c>
      <c r="I116" s="2" t="s">
        <v>33</v>
      </c>
      <c r="J116" s="2" t="s">
        <v>34</v>
      </c>
      <c r="K116" s="3">
        <v>76320</v>
      </c>
      <c r="L116" s="4">
        <v>0.18</v>
      </c>
      <c r="M116" s="3">
        <v>13738</v>
      </c>
      <c r="N116" s="3">
        <v>90058</v>
      </c>
      <c r="O116" s="2" t="s">
        <v>25</v>
      </c>
      <c r="P116" s="2" t="s">
        <v>35</v>
      </c>
      <c r="Q116" s="2" t="s">
        <v>27</v>
      </c>
    </row>
    <row r="117" spans="1:17" x14ac:dyDescent="0.25">
      <c r="A117" s="2" t="s">
        <v>225</v>
      </c>
      <c r="B117" s="5">
        <v>46138</v>
      </c>
      <c r="C117" s="2" t="s">
        <v>200</v>
      </c>
      <c r="D117" s="2" t="s">
        <v>50</v>
      </c>
      <c r="E117" s="2">
        <v>4101</v>
      </c>
      <c r="F117" s="2" t="s">
        <v>74</v>
      </c>
      <c r="G117" s="2" t="s">
        <v>75</v>
      </c>
      <c r="H117" s="2" t="s">
        <v>76</v>
      </c>
      <c r="I117" s="2" t="s">
        <v>23</v>
      </c>
      <c r="J117" s="2" t="s">
        <v>24</v>
      </c>
      <c r="K117" s="3">
        <v>19620</v>
      </c>
      <c r="L117" s="4">
        <v>0</v>
      </c>
      <c r="M117" s="3">
        <v>0</v>
      </c>
      <c r="N117" s="3">
        <v>19620</v>
      </c>
      <c r="O117" s="2" t="s">
        <v>48</v>
      </c>
      <c r="P117" s="2" t="s">
        <v>42</v>
      </c>
      <c r="Q117" s="2" t="s">
        <v>68</v>
      </c>
    </row>
    <row r="118" spans="1:17" x14ac:dyDescent="0.25">
      <c r="A118" s="2" t="s">
        <v>226</v>
      </c>
      <c r="B118" s="5">
        <v>46139</v>
      </c>
      <c r="C118" s="2" t="s">
        <v>200</v>
      </c>
      <c r="D118" s="2" t="s">
        <v>50</v>
      </c>
      <c r="E118" s="2">
        <v>5403</v>
      </c>
      <c r="F118" s="2" t="s">
        <v>124</v>
      </c>
      <c r="G118" s="2" t="s">
        <v>125</v>
      </c>
      <c r="H118" s="2" t="s">
        <v>126</v>
      </c>
      <c r="I118" s="2" t="s">
        <v>33</v>
      </c>
      <c r="J118" s="2" t="s">
        <v>24</v>
      </c>
      <c r="K118" s="3">
        <v>52640</v>
      </c>
      <c r="L118" s="4">
        <v>0.18</v>
      </c>
      <c r="M118" s="3">
        <v>9475</v>
      </c>
      <c r="N118" s="3">
        <v>62115</v>
      </c>
      <c r="O118" s="2" t="s">
        <v>25</v>
      </c>
      <c r="P118" s="2" t="s">
        <v>54</v>
      </c>
      <c r="Q118" s="2" t="s">
        <v>27</v>
      </c>
    </row>
    <row r="119" spans="1:17" x14ac:dyDescent="0.25">
      <c r="A119" s="2" t="s">
        <v>227</v>
      </c>
      <c r="B119" s="5">
        <v>46140</v>
      </c>
      <c r="C119" s="2" t="s">
        <v>200</v>
      </c>
      <c r="D119" s="2" t="s">
        <v>38</v>
      </c>
      <c r="E119" s="2">
        <v>5204</v>
      </c>
      <c r="F119" s="2" t="s">
        <v>131</v>
      </c>
      <c r="G119" s="2" t="s">
        <v>132</v>
      </c>
      <c r="H119" s="2" t="s">
        <v>133</v>
      </c>
      <c r="I119" s="2" t="s">
        <v>33</v>
      </c>
      <c r="J119" s="2" t="s">
        <v>58</v>
      </c>
      <c r="K119" s="3">
        <v>22000</v>
      </c>
      <c r="L119" s="4">
        <v>0.18</v>
      </c>
      <c r="M119" s="3">
        <v>3960</v>
      </c>
      <c r="N119" s="3">
        <v>25960</v>
      </c>
      <c r="O119" s="2" t="s">
        <v>25</v>
      </c>
      <c r="P119" s="2" t="s">
        <v>35</v>
      </c>
      <c r="Q119" s="2" t="s">
        <v>68</v>
      </c>
    </row>
    <row r="120" spans="1:17" x14ac:dyDescent="0.25">
      <c r="A120" s="2" t="s">
        <v>228</v>
      </c>
      <c r="B120" s="5">
        <v>46141</v>
      </c>
      <c r="C120" s="2" t="s">
        <v>200</v>
      </c>
      <c r="D120" s="2" t="s">
        <v>29</v>
      </c>
      <c r="E120" s="2">
        <v>5105</v>
      </c>
      <c r="F120" s="2" t="s">
        <v>135</v>
      </c>
      <c r="G120" s="2" t="s">
        <v>136</v>
      </c>
      <c r="H120" s="2" t="s">
        <v>137</v>
      </c>
      <c r="I120" s="2" t="s">
        <v>33</v>
      </c>
      <c r="J120" s="2" t="s">
        <v>24</v>
      </c>
      <c r="K120" s="3">
        <v>45500</v>
      </c>
      <c r="L120" s="4">
        <v>0.18</v>
      </c>
      <c r="M120" s="3">
        <v>8190</v>
      </c>
      <c r="N120" s="3">
        <v>53690</v>
      </c>
      <c r="O120" s="2" t="s">
        <v>25</v>
      </c>
      <c r="P120" s="2" t="s">
        <v>42</v>
      </c>
      <c r="Q120" s="2" t="s">
        <v>36</v>
      </c>
    </row>
    <row r="121" spans="1:17" x14ac:dyDescent="0.25">
      <c r="A121" s="2" t="s">
        <v>229</v>
      </c>
      <c r="B121" s="5">
        <v>46142</v>
      </c>
      <c r="C121" s="2" t="s">
        <v>200</v>
      </c>
      <c r="D121" s="2" t="s">
        <v>19</v>
      </c>
      <c r="E121" s="2">
        <v>4003</v>
      </c>
      <c r="F121" s="2" t="s">
        <v>20</v>
      </c>
      <c r="G121" s="2" t="s">
        <v>79</v>
      </c>
      <c r="H121" s="2" t="s">
        <v>80</v>
      </c>
      <c r="I121" s="2" t="s">
        <v>23</v>
      </c>
      <c r="J121" s="2" t="s">
        <v>24</v>
      </c>
      <c r="K121" s="3">
        <v>164500</v>
      </c>
      <c r="L121" s="4">
        <v>0.18</v>
      </c>
      <c r="M121" s="3">
        <v>29610</v>
      </c>
      <c r="N121" s="3">
        <v>194110</v>
      </c>
      <c r="O121" s="2" t="s">
        <v>48</v>
      </c>
      <c r="P121" s="2" t="s">
        <v>26</v>
      </c>
      <c r="Q121" s="2" t="s">
        <v>27</v>
      </c>
    </row>
    <row r="122" spans="1:17" x14ac:dyDescent="0.25">
      <c r="A122" s="2" t="s">
        <v>230</v>
      </c>
      <c r="B122" s="5">
        <v>46143</v>
      </c>
      <c r="C122" s="2" t="s">
        <v>231</v>
      </c>
      <c r="D122" s="2" t="s">
        <v>19</v>
      </c>
      <c r="E122" s="2">
        <v>4001</v>
      </c>
      <c r="F122" s="2" t="s">
        <v>20</v>
      </c>
      <c r="G122" s="2" t="s">
        <v>21</v>
      </c>
      <c r="H122" s="2" t="s">
        <v>22</v>
      </c>
      <c r="I122" s="2" t="s">
        <v>23</v>
      </c>
      <c r="J122" s="2" t="s">
        <v>24</v>
      </c>
      <c r="K122" s="3">
        <v>242500</v>
      </c>
      <c r="L122" s="4">
        <v>0.18</v>
      </c>
      <c r="M122" s="3">
        <v>43650</v>
      </c>
      <c r="N122" s="3">
        <v>286150</v>
      </c>
      <c r="O122" s="2" t="s">
        <v>25</v>
      </c>
      <c r="P122" s="2" t="s">
        <v>26</v>
      </c>
      <c r="Q122" s="2" t="s">
        <v>27</v>
      </c>
    </row>
    <row r="123" spans="1:17" x14ac:dyDescent="0.25">
      <c r="A123" s="2" t="s">
        <v>232</v>
      </c>
      <c r="B123" s="5">
        <v>46144</v>
      </c>
      <c r="C123" s="2" t="s">
        <v>231</v>
      </c>
      <c r="D123" s="2" t="s">
        <v>44</v>
      </c>
      <c r="E123" s="2">
        <v>5301</v>
      </c>
      <c r="F123" s="2" t="s">
        <v>45</v>
      </c>
      <c r="G123" s="2" t="s">
        <v>46</v>
      </c>
      <c r="H123" s="2" t="s">
        <v>47</v>
      </c>
      <c r="I123" s="2" t="s">
        <v>33</v>
      </c>
      <c r="J123" s="2" t="s">
        <v>24</v>
      </c>
      <c r="K123" s="3">
        <v>30000</v>
      </c>
      <c r="L123" s="4">
        <v>0.18</v>
      </c>
      <c r="M123" s="3">
        <v>5400</v>
      </c>
      <c r="N123" s="3">
        <v>35400</v>
      </c>
      <c r="O123" s="2" t="s">
        <v>25</v>
      </c>
      <c r="P123" s="2" t="s">
        <v>26</v>
      </c>
      <c r="Q123" s="2" t="s">
        <v>36</v>
      </c>
    </row>
    <row r="124" spans="1:17" x14ac:dyDescent="0.25">
      <c r="A124" s="2" t="s">
        <v>233</v>
      </c>
      <c r="B124" s="5">
        <v>46145</v>
      </c>
      <c r="C124" s="2" t="s">
        <v>231</v>
      </c>
      <c r="D124" s="2" t="s">
        <v>50</v>
      </c>
      <c r="E124" s="2">
        <v>5401</v>
      </c>
      <c r="F124" s="2" t="s">
        <v>51</v>
      </c>
      <c r="G124" s="2" t="s">
        <v>52</v>
      </c>
      <c r="H124" s="2" t="s">
        <v>53</v>
      </c>
      <c r="I124" s="2" t="s">
        <v>33</v>
      </c>
      <c r="J124" s="2" t="s">
        <v>24</v>
      </c>
      <c r="K124" s="3">
        <v>61800</v>
      </c>
      <c r="L124" s="4">
        <v>0.18</v>
      </c>
      <c r="M124" s="3">
        <v>11124</v>
      </c>
      <c r="N124" s="3">
        <v>72924</v>
      </c>
      <c r="O124" s="2" t="s">
        <v>25</v>
      </c>
      <c r="P124" s="2" t="s">
        <v>54</v>
      </c>
      <c r="Q124" s="2" t="s">
        <v>27</v>
      </c>
    </row>
    <row r="125" spans="1:17" x14ac:dyDescent="0.25">
      <c r="A125" s="2" t="s">
        <v>234</v>
      </c>
      <c r="B125" s="5">
        <v>46146</v>
      </c>
      <c r="C125" s="2" t="s">
        <v>231</v>
      </c>
      <c r="D125" s="2" t="s">
        <v>60</v>
      </c>
      <c r="E125" s="2">
        <v>5501</v>
      </c>
      <c r="F125" s="2" t="s">
        <v>61</v>
      </c>
      <c r="G125" s="2" t="s">
        <v>62</v>
      </c>
      <c r="H125" s="2" t="s">
        <v>63</v>
      </c>
      <c r="I125" s="2" t="s">
        <v>33</v>
      </c>
      <c r="J125" s="2" t="s">
        <v>34</v>
      </c>
      <c r="K125" s="3">
        <v>76320</v>
      </c>
      <c r="L125" s="4">
        <v>0.18</v>
      </c>
      <c r="M125" s="3">
        <v>13738</v>
      </c>
      <c r="N125" s="3">
        <v>90058</v>
      </c>
      <c r="O125" s="2" t="s">
        <v>48</v>
      </c>
      <c r="P125" s="2" t="s">
        <v>42</v>
      </c>
      <c r="Q125" s="2" t="s">
        <v>27</v>
      </c>
    </row>
    <row r="126" spans="1:17" x14ac:dyDescent="0.25">
      <c r="A126" s="2" t="s">
        <v>235</v>
      </c>
      <c r="B126" s="5">
        <v>46147</v>
      </c>
      <c r="C126" s="2" t="s">
        <v>231</v>
      </c>
      <c r="D126" s="2" t="s">
        <v>38</v>
      </c>
      <c r="E126" s="2">
        <v>5202</v>
      </c>
      <c r="F126" s="2" t="s">
        <v>65</v>
      </c>
      <c r="G126" s="2" t="s">
        <v>66</v>
      </c>
      <c r="H126" s="2" t="s">
        <v>67</v>
      </c>
      <c r="I126" s="2" t="s">
        <v>33</v>
      </c>
      <c r="J126" s="2" t="s">
        <v>58</v>
      </c>
      <c r="K126" s="3">
        <v>16350</v>
      </c>
      <c r="L126" s="4">
        <v>0.18</v>
      </c>
      <c r="M126" s="3">
        <v>2943</v>
      </c>
      <c r="N126" s="3">
        <v>19293</v>
      </c>
      <c r="O126" s="2" t="s">
        <v>25</v>
      </c>
      <c r="P126" s="2" t="s">
        <v>26</v>
      </c>
      <c r="Q126" s="2" t="s">
        <v>68</v>
      </c>
    </row>
    <row r="127" spans="1:17" x14ac:dyDescent="0.25">
      <c r="A127" s="2" t="s">
        <v>236</v>
      </c>
      <c r="B127" s="5">
        <v>46148</v>
      </c>
      <c r="C127" s="2" t="s">
        <v>231</v>
      </c>
      <c r="D127" s="2" t="s">
        <v>19</v>
      </c>
      <c r="E127" s="2">
        <v>4001</v>
      </c>
      <c r="F127" s="2" t="s">
        <v>20</v>
      </c>
      <c r="G127" s="2" t="s">
        <v>128</v>
      </c>
      <c r="H127" s="2" t="s">
        <v>129</v>
      </c>
      <c r="I127" s="2" t="s">
        <v>23</v>
      </c>
      <c r="J127" s="2" t="s">
        <v>24</v>
      </c>
      <c r="K127" s="3">
        <v>336000</v>
      </c>
      <c r="L127" s="4">
        <v>0.18</v>
      </c>
      <c r="M127" s="3">
        <v>60480</v>
      </c>
      <c r="N127" s="3">
        <v>396480</v>
      </c>
      <c r="O127" s="2" t="s">
        <v>25</v>
      </c>
      <c r="P127" s="2" t="s">
        <v>26</v>
      </c>
      <c r="Q127" s="2" t="s">
        <v>27</v>
      </c>
    </row>
    <row r="128" spans="1:17" x14ac:dyDescent="0.25">
      <c r="A128" s="2" t="s">
        <v>237</v>
      </c>
      <c r="B128" s="5">
        <v>46149</v>
      </c>
      <c r="C128" s="2" t="s">
        <v>231</v>
      </c>
      <c r="D128" s="2" t="s">
        <v>19</v>
      </c>
      <c r="E128" s="2">
        <v>4002</v>
      </c>
      <c r="F128" s="2" t="s">
        <v>20</v>
      </c>
      <c r="G128" s="2" t="s">
        <v>109</v>
      </c>
      <c r="H128" s="2" t="s">
        <v>110</v>
      </c>
      <c r="I128" s="2" t="s">
        <v>23</v>
      </c>
      <c r="J128" s="2" t="s">
        <v>24</v>
      </c>
      <c r="K128" s="3">
        <v>184800</v>
      </c>
      <c r="L128" s="4">
        <v>0.18</v>
      </c>
      <c r="M128" s="3">
        <v>33264</v>
      </c>
      <c r="N128" s="3">
        <v>218064</v>
      </c>
      <c r="O128" s="2" t="s">
        <v>25</v>
      </c>
      <c r="P128" s="2" t="s">
        <v>42</v>
      </c>
      <c r="Q128" s="2" t="s">
        <v>27</v>
      </c>
    </row>
    <row r="129" spans="1:17" x14ac:dyDescent="0.25">
      <c r="A129" s="2" t="s">
        <v>238</v>
      </c>
      <c r="B129" s="5">
        <v>46150</v>
      </c>
      <c r="C129" s="2" t="s">
        <v>231</v>
      </c>
      <c r="D129" s="2" t="s">
        <v>60</v>
      </c>
      <c r="E129" s="2">
        <v>5502</v>
      </c>
      <c r="F129" s="2" t="s">
        <v>87</v>
      </c>
      <c r="G129" s="2" t="s">
        <v>88</v>
      </c>
      <c r="H129" s="2" t="s">
        <v>89</v>
      </c>
      <c r="I129" s="2" t="s">
        <v>33</v>
      </c>
      <c r="J129" s="2" t="s">
        <v>24</v>
      </c>
      <c r="K129" s="3">
        <v>136500</v>
      </c>
      <c r="L129" s="4">
        <v>0.18</v>
      </c>
      <c r="M129" s="3">
        <v>24570</v>
      </c>
      <c r="N129" s="3">
        <v>161070</v>
      </c>
      <c r="O129" s="2" t="s">
        <v>48</v>
      </c>
      <c r="P129" s="2" t="s">
        <v>54</v>
      </c>
      <c r="Q129" s="2" t="s">
        <v>27</v>
      </c>
    </row>
    <row r="130" spans="1:17" x14ac:dyDescent="0.25">
      <c r="A130" s="2" t="s">
        <v>239</v>
      </c>
      <c r="B130" s="5">
        <v>46151</v>
      </c>
      <c r="C130" s="2" t="s">
        <v>231</v>
      </c>
      <c r="D130" s="2" t="s">
        <v>50</v>
      </c>
      <c r="E130" s="2">
        <v>5402</v>
      </c>
      <c r="F130" s="2" t="s">
        <v>95</v>
      </c>
      <c r="G130" s="2" t="s">
        <v>96</v>
      </c>
      <c r="H130" s="2" t="s">
        <v>97</v>
      </c>
      <c r="I130" s="2" t="s">
        <v>33</v>
      </c>
      <c r="J130" s="2" t="s">
        <v>24</v>
      </c>
      <c r="K130" s="3">
        <v>51700</v>
      </c>
      <c r="L130" s="4">
        <v>0.18</v>
      </c>
      <c r="M130" s="3">
        <v>9306</v>
      </c>
      <c r="N130" s="3">
        <v>61006</v>
      </c>
      <c r="O130" s="2" t="s">
        <v>25</v>
      </c>
      <c r="P130" s="2" t="s">
        <v>42</v>
      </c>
      <c r="Q130" s="2" t="s">
        <v>27</v>
      </c>
    </row>
    <row r="131" spans="1:17" x14ac:dyDescent="0.25">
      <c r="A131" s="2" t="s">
        <v>240</v>
      </c>
      <c r="B131" s="5">
        <v>46152</v>
      </c>
      <c r="C131" s="2" t="s">
        <v>231</v>
      </c>
      <c r="D131" s="2" t="s">
        <v>38</v>
      </c>
      <c r="E131" s="2">
        <v>5203</v>
      </c>
      <c r="F131" s="2" t="s">
        <v>99</v>
      </c>
      <c r="G131" s="2" t="s">
        <v>100</v>
      </c>
      <c r="H131" s="2" t="s">
        <v>101</v>
      </c>
      <c r="I131" s="2" t="s">
        <v>33</v>
      </c>
      <c r="J131" s="2" t="s">
        <v>34</v>
      </c>
      <c r="K131" s="3">
        <v>26190</v>
      </c>
      <c r="L131" s="4">
        <v>0.05</v>
      </c>
      <c r="M131" s="3">
        <v>1310</v>
      </c>
      <c r="N131" s="3">
        <v>27500</v>
      </c>
      <c r="O131" s="2" t="s">
        <v>25</v>
      </c>
      <c r="P131" s="2" t="s">
        <v>54</v>
      </c>
      <c r="Q131" s="2" t="s">
        <v>36</v>
      </c>
    </row>
    <row r="132" spans="1:17" x14ac:dyDescent="0.25">
      <c r="A132" s="2" t="s">
        <v>241</v>
      </c>
      <c r="B132" s="5">
        <v>46153</v>
      </c>
      <c r="C132" s="2" t="s">
        <v>231</v>
      </c>
      <c r="D132" s="2" t="s">
        <v>19</v>
      </c>
      <c r="E132" s="2">
        <v>4003</v>
      </c>
      <c r="F132" s="2" t="s">
        <v>20</v>
      </c>
      <c r="G132" s="2" t="s">
        <v>92</v>
      </c>
      <c r="H132" s="2" t="s">
        <v>93</v>
      </c>
      <c r="I132" s="2" t="s">
        <v>23</v>
      </c>
      <c r="J132" s="2" t="s">
        <v>24</v>
      </c>
      <c r="K132" s="3">
        <v>95000</v>
      </c>
      <c r="L132" s="4">
        <v>0.18</v>
      </c>
      <c r="M132" s="3">
        <v>17100</v>
      </c>
      <c r="N132" s="3">
        <v>112100</v>
      </c>
      <c r="O132" s="2" t="s">
        <v>25</v>
      </c>
      <c r="P132" s="2" t="s">
        <v>35</v>
      </c>
      <c r="Q132" s="2" t="s">
        <v>36</v>
      </c>
    </row>
    <row r="133" spans="1:17" x14ac:dyDescent="0.25">
      <c r="A133" s="2" t="s">
        <v>242</v>
      </c>
      <c r="B133" s="5">
        <v>46154</v>
      </c>
      <c r="C133" s="2" t="s">
        <v>231</v>
      </c>
      <c r="D133" s="2" t="s">
        <v>60</v>
      </c>
      <c r="E133" s="2">
        <v>5501</v>
      </c>
      <c r="F133" s="2" t="s">
        <v>61</v>
      </c>
      <c r="G133" s="2" t="s">
        <v>117</v>
      </c>
      <c r="H133" s="2" t="s">
        <v>118</v>
      </c>
      <c r="I133" s="2" t="s">
        <v>33</v>
      </c>
      <c r="J133" s="2" t="s">
        <v>34</v>
      </c>
      <c r="K133" s="3">
        <v>74160</v>
      </c>
      <c r="L133" s="4">
        <v>0.18</v>
      </c>
      <c r="M133" s="3">
        <v>13349</v>
      </c>
      <c r="N133" s="3">
        <v>87509</v>
      </c>
      <c r="O133" s="2" t="s">
        <v>48</v>
      </c>
      <c r="P133" s="2" t="s">
        <v>35</v>
      </c>
      <c r="Q133" s="2" t="s">
        <v>27</v>
      </c>
    </row>
    <row r="134" spans="1:17" x14ac:dyDescent="0.25">
      <c r="A134" s="2" t="s">
        <v>243</v>
      </c>
      <c r="B134" s="5">
        <v>46155</v>
      </c>
      <c r="C134" s="2" t="s">
        <v>231</v>
      </c>
      <c r="D134" s="2" t="s">
        <v>44</v>
      </c>
      <c r="E134" s="2">
        <v>5303</v>
      </c>
      <c r="F134" s="2" t="s">
        <v>120</v>
      </c>
      <c r="G134" s="2" t="s">
        <v>121</v>
      </c>
      <c r="H134" s="2" t="s">
        <v>122</v>
      </c>
      <c r="I134" s="2" t="s">
        <v>33</v>
      </c>
      <c r="J134" s="2" t="s">
        <v>34</v>
      </c>
      <c r="K134" s="3">
        <v>42400</v>
      </c>
      <c r="L134" s="4">
        <v>0.18</v>
      </c>
      <c r="M134" s="3">
        <v>7632</v>
      </c>
      <c r="N134" s="3">
        <v>50032</v>
      </c>
      <c r="O134" s="2" t="s">
        <v>25</v>
      </c>
      <c r="P134" s="2" t="s">
        <v>42</v>
      </c>
      <c r="Q134" s="2" t="s">
        <v>36</v>
      </c>
    </row>
    <row r="135" spans="1:17" x14ac:dyDescent="0.25">
      <c r="A135" s="2" t="s">
        <v>244</v>
      </c>
      <c r="B135" s="5">
        <v>46156</v>
      </c>
      <c r="C135" s="2" t="s">
        <v>231</v>
      </c>
      <c r="D135" s="2" t="s">
        <v>19</v>
      </c>
      <c r="E135" s="2">
        <v>4001</v>
      </c>
      <c r="F135" s="2" t="s">
        <v>20</v>
      </c>
      <c r="G135" s="2" t="s">
        <v>128</v>
      </c>
      <c r="H135" s="2" t="s">
        <v>129</v>
      </c>
      <c r="I135" s="2" t="s">
        <v>23</v>
      </c>
      <c r="J135" s="2" t="s">
        <v>24</v>
      </c>
      <c r="K135" s="3">
        <v>327000</v>
      </c>
      <c r="L135" s="4">
        <v>0.18</v>
      </c>
      <c r="M135" s="3">
        <v>58860</v>
      </c>
      <c r="N135" s="3">
        <v>385860</v>
      </c>
      <c r="O135" s="2" t="s">
        <v>25</v>
      </c>
      <c r="P135" s="2" t="s">
        <v>26</v>
      </c>
      <c r="Q135" s="2" t="s">
        <v>27</v>
      </c>
    </row>
    <row r="136" spans="1:17" x14ac:dyDescent="0.25">
      <c r="A136" s="2" t="s">
        <v>245</v>
      </c>
      <c r="B136" s="5">
        <v>46157</v>
      </c>
      <c r="C136" s="2" t="s">
        <v>231</v>
      </c>
      <c r="D136" s="2" t="s">
        <v>38</v>
      </c>
      <c r="E136" s="2">
        <v>5204</v>
      </c>
      <c r="F136" s="2" t="s">
        <v>131</v>
      </c>
      <c r="G136" s="2" t="s">
        <v>132</v>
      </c>
      <c r="H136" s="2" t="s">
        <v>133</v>
      </c>
      <c r="I136" s="2" t="s">
        <v>33</v>
      </c>
      <c r="J136" s="2" t="s">
        <v>58</v>
      </c>
      <c r="K136" s="3">
        <v>28000</v>
      </c>
      <c r="L136" s="4">
        <v>0.18</v>
      </c>
      <c r="M136" s="3">
        <v>5040</v>
      </c>
      <c r="N136" s="3">
        <v>33040</v>
      </c>
      <c r="O136" s="2" t="s">
        <v>25</v>
      </c>
      <c r="P136" s="2" t="s">
        <v>35</v>
      </c>
      <c r="Q136" s="2" t="s">
        <v>68</v>
      </c>
    </row>
    <row r="137" spans="1:17" x14ac:dyDescent="0.25">
      <c r="A137" s="2" t="s">
        <v>246</v>
      </c>
      <c r="B137" s="5">
        <v>46158</v>
      </c>
      <c r="C137" s="2" t="s">
        <v>231</v>
      </c>
      <c r="D137" s="2" t="s">
        <v>19</v>
      </c>
      <c r="E137" s="2">
        <v>4003</v>
      </c>
      <c r="F137" s="2" t="s">
        <v>20</v>
      </c>
      <c r="G137" s="2" t="s">
        <v>79</v>
      </c>
      <c r="H137" s="2" t="s">
        <v>80</v>
      </c>
      <c r="I137" s="2" t="s">
        <v>23</v>
      </c>
      <c r="J137" s="2" t="s">
        <v>24</v>
      </c>
      <c r="K137" s="3">
        <v>154000</v>
      </c>
      <c r="L137" s="4">
        <v>0.18</v>
      </c>
      <c r="M137" s="3">
        <v>27720</v>
      </c>
      <c r="N137" s="3">
        <v>181720</v>
      </c>
      <c r="O137" s="2" t="s">
        <v>48</v>
      </c>
      <c r="P137" s="2" t="s">
        <v>26</v>
      </c>
      <c r="Q137" s="2" t="s">
        <v>27</v>
      </c>
    </row>
    <row r="138" spans="1:17" x14ac:dyDescent="0.25">
      <c r="A138" s="2" t="s">
        <v>247</v>
      </c>
      <c r="B138" s="5">
        <v>46159</v>
      </c>
      <c r="C138" s="2" t="s">
        <v>231</v>
      </c>
      <c r="D138" s="2" t="s">
        <v>29</v>
      </c>
      <c r="E138" s="2">
        <v>5102</v>
      </c>
      <c r="F138" s="2" t="s">
        <v>30</v>
      </c>
      <c r="G138" s="2" t="s">
        <v>31</v>
      </c>
      <c r="H138" s="2" t="s">
        <v>32</v>
      </c>
      <c r="I138" s="2" t="s">
        <v>33</v>
      </c>
      <c r="J138" s="2" t="s">
        <v>34</v>
      </c>
      <c r="K138" s="3">
        <v>40950</v>
      </c>
      <c r="L138" s="4">
        <v>0.18</v>
      </c>
      <c r="M138" s="3">
        <v>7371</v>
      </c>
      <c r="N138" s="3">
        <v>48321</v>
      </c>
      <c r="O138" s="2" t="s">
        <v>25</v>
      </c>
      <c r="P138" s="2" t="s">
        <v>35</v>
      </c>
      <c r="Q138" s="2" t="s">
        <v>36</v>
      </c>
    </row>
    <row r="139" spans="1:17" x14ac:dyDescent="0.25">
      <c r="A139" s="2" t="s">
        <v>248</v>
      </c>
      <c r="B139" s="5">
        <v>46160</v>
      </c>
      <c r="C139" s="2" t="s">
        <v>231</v>
      </c>
      <c r="D139" s="2" t="s">
        <v>38</v>
      </c>
      <c r="E139" s="2">
        <v>5201</v>
      </c>
      <c r="F139" s="2" t="s">
        <v>39</v>
      </c>
      <c r="G139" s="2" t="s">
        <v>40</v>
      </c>
      <c r="H139" s="2" t="s">
        <v>41</v>
      </c>
      <c r="I139" s="2" t="s">
        <v>33</v>
      </c>
      <c r="J139" s="2" t="s">
        <v>24</v>
      </c>
      <c r="K139" s="3">
        <v>75200</v>
      </c>
      <c r="L139" s="4">
        <v>0.18</v>
      </c>
      <c r="M139" s="3">
        <v>13536</v>
      </c>
      <c r="N139" s="3">
        <v>88736</v>
      </c>
      <c r="O139" s="2" t="s">
        <v>25</v>
      </c>
      <c r="P139" s="2" t="s">
        <v>42</v>
      </c>
      <c r="Q139" s="2" t="s">
        <v>27</v>
      </c>
    </row>
    <row r="140" spans="1:17" x14ac:dyDescent="0.25">
      <c r="A140" s="2" t="s">
        <v>249</v>
      </c>
      <c r="B140" s="5">
        <v>46161</v>
      </c>
      <c r="C140" s="2" t="s">
        <v>231</v>
      </c>
      <c r="D140" s="2" t="s">
        <v>44</v>
      </c>
      <c r="E140" s="2">
        <v>5301</v>
      </c>
      <c r="F140" s="2" t="s">
        <v>45</v>
      </c>
      <c r="G140" s="2" t="s">
        <v>46</v>
      </c>
      <c r="H140" s="2" t="s">
        <v>47</v>
      </c>
      <c r="I140" s="2" t="s">
        <v>33</v>
      </c>
      <c r="J140" s="2" t="s">
        <v>24</v>
      </c>
      <c r="K140" s="3">
        <v>29100</v>
      </c>
      <c r="L140" s="4">
        <v>0.18</v>
      </c>
      <c r="M140" s="3">
        <v>5238</v>
      </c>
      <c r="N140" s="3">
        <v>34338</v>
      </c>
      <c r="O140" s="2" t="s">
        <v>25</v>
      </c>
      <c r="P140" s="2" t="s">
        <v>26</v>
      </c>
      <c r="Q140" s="2" t="s">
        <v>36</v>
      </c>
    </row>
    <row r="141" spans="1:17" x14ac:dyDescent="0.25">
      <c r="A141" s="2" t="s">
        <v>250</v>
      </c>
      <c r="B141" s="5">
        <v>46162</v>
      </c>
      <c r="C141" s="2" t="s">
        <v>231</v>
      </c>
      <c r="D141" s="2" t="s">
        <v>50</v>
      </c>
      <c r="E141" s="2">
        <v>5401</v>
      </c>
      <c r="F141" s="2" t="s">
        <v>51</v>
      </c>
      <c r="G141" s="2" t="s">
        <v>52</v>
      </c>
      <c r="H141" s="2" t="s">
        <v>53</v>
      </c>
      <c r="I141" s="2" t="s">
        <v>33</v>
      </c>
      <c r="J141" s="2" t="s">
        <v>24</v>
      </c>
      <c r="K141" s="3">
        <v>60000</v>
      </c>
      <c r="L141" s="4">
        <v>0.18</v>
      </c>
      <c r="M141" s="3">
        <v>10800</v>
      </c>
      <c r="N141" s="3">
        <v>70800</v>
      </c>
      <c r="O141" s="2" t="s">
        <v>48</v>
      </c>
      <c r="P141" s="2" t="s">
        <v>54</v>
      </c>
      <c r="Q141" s="2" t="s">
        <v>27</v>
      </c>
    </row>
    <row r="142" spans="1:17" x14ac:dyDescent="0.25">
      <c r="A142" s="2" t="s">
        <v>251</v>
      </c>
      <c r="B142" s="5">
        <v>46163</v>
      </c>
      <c r="C142" s="2" t="s">
        <v>231</v>
      </c>
      <c r="D142" s="2" t="s">
        <v>50</v>
      </c>
      <c r="E142" s="2">
        <v>4102</v>
      </c>
      <c r="F142" s="2" t="s">
        <v>104</v>
      </c>
      <c r="G142" s="2" t="s">
        <v>105</v>
      </c>
      <c r="H142" s="2" t="s">
        <v>106</v>
      </c>
      <c r="I142" s="2" t="s">
        <v>23</v>
      </c>
      <c r="J142" s="2" t="s">
        <v>24</v>
      </c>
      <c r="K142" s="3">
        <v>12360</v>
      </c>
      <c r="L142" s="4">
        <v>0</v>
      </c>
      <c r="M142" s="3">
        <v>0</v>
      </c>
      <c r="N142" s="3">
        <v>12360</v>
      </c>
      <c r="O142" s="2" t="s">
        <v>25</v>
      </c>
      <c r="P142" s="2" t="s">
        <v>54</v>
      </c>
      <c r="Q142" s="2" t="s">
        <v>68</v>
      </c>
    </row>
    <row r="143" spans="1:17" x14ac:dyDescent="0.25">
      <c r="A143" s="2" t="s">
        <v>252</v>
      </c>
      <c r="B143" s="5">
        <v>46164</v>
      </c>
      <c r="C143" s="2" t="s">
        <v>231</v>
      </c>
      <c r="D143" s="2" t="s">
        <v>38</v>
      </c>
      <c r="E143" s="2">
        <v>5202</v>
      </c>
      <c r="F143" s="2" t="s">
        <v>65</v>
      </c>
      <c r="G143" s="2" t="s">
        <v>66</v>
      </c>
      <c r="H143" s="2" t="s">
        <v>67</v>
      </c>
      <c r="I143" s="2" t="s">
        <v>33</v>
      </c>
      <c r="J143" s="2" t="s">
        <v>58</v>
      </c>
      <c r="K143" s="3">
        <v>15900</v>
      </c>
      <c r="L143" s="4">
        <v>0.18</v>
      </c>
      <c r="M143" s="3">
        <v>2862</v>
      </c>
      <c r="N143" s="3">
        <v>18762</v>
      </c>
      <c r="O143" s="2" t="s">
        <v>25</v>
      </c>
      <c r="P143" s="2" t="s">
        <v>26</v>
      </c>
      <c r="Q143" s="2" t="s">
        <v>68</v>
      </c>
    </row>
    <row r="144" spans="1:17" x14ac:dyDescent="0.25">
      <c r="A144" s="2" t="s">
        <v>253</v>
      </c>
      <c r="B144" s="5">
        <v>46165</v>
      </c>
      <c r="C144" s="2" t="s">
        <v>231</v>
      </c>
      <c r="D144" s="2" t="s">
        <v>29</v>
      </c>
      <c r="E144" s="2">
        <v>5103</v>
      </c>
      <c r="F144" s="2" t="s">
        <v>70</v>
      </c>
      <c r="G144" s="2" t="s">
        <v>71</v>
      </c>
      <c r="H144" s="2" t="s">
        <v>72</v>
      </c>
      <c r="I144" s="2" t="s">
        <v>33</v>
      </c>
      <c r="J144" s="2" t="s">
        <v>24</v>
      </c>
      <c r="K144" s="3">
        <v>98100</v>
      </c>
      <c r="L144" s="4">
        <v>0.18</v>
      </c>
      <c r="M144" s="3">
        <v>17658</v>
      </c>
      <c r="N144" s="3">
        <v>115758</v>
      </c>
      <c r="O144" s="2" t="s">
        <v>25</v>
      </c>
      <c r="P144" s="2" t="s">
        <v>54</v>
      </c>
      <c r="Q144" s="2" t="s">
        <v>27</v>
      </c>
    </row>
    <row r="145" spans="1:17" x14ac:dyDescent="0.25">
      <c r="A145" s="2" t="s">
        <v>254</v>
      </c>
      <c r="B145" s="5">
        <v>46166</v>
      </c>
      <c r="C145" s="2" t="s">
        <v>231</v>
      </c>
      <c r="D145" s="2" t="s">
        <v>44</v>
      </c>
      <c r="E145" s="2">
        <v>5302</v>
      </c>
      <c r="F145" s="2" t="s">
        <v>82</v>
      </c>
      <c r="G145" s="2" t="s">
        <v>83</v>
      </c>
      <c r="H145" s="2" t="s">
        <v>84</v>
      </c>
      <c r="I145" s="2" t="s">
        <v>33</v>
      </c>
      <c r="J145" s="2" t="s">
        <v>34</v>
      </c>
      <c r="K145" s="3">
        <v>24640</v>
      </c>
      <c r="L145" s="4">
        <v>0.18</v>
      </c>
      <c r="M145" s="3">
        <v>4435</v>
      </c>
      <c r="N145" s="3">
        <v>29075</v>
      </c>
      <c r="O145" s="2" t="s">
        <v>48</v>
      </c>
      <c r="P145" s="2" t="s">
        <v>35</v>
      </c>
      <c r="Q145" s="2" t="s">
        <v>36</v>
      </c>
    </row>
    <row r="146" spans="1:17" x14ac:dyDescent="0.25">
      <c r="A146" s="2" t="s">
        <v>255</v>
      </c>
      <c r="B146" s="5">
        <v>46167</v>
      </c>
      <c r="C146" s="2" t="s">
        <v>231</v>
      </c>
      <c r="D146" s="2" t="s">
        <v>60</v>
      </c>
      <c r="E146" s="2">
        <v>5502</v>
      </c>
      <c r="F146" s="2" t="s">
        <v>87</v>
      </c>
      <c r="G146" s="2" t="s">
        <v>88</v>
      </c>
      <c r="H146" s="2" t="s">
        <v>89</v>
      </c>
      <c r="I146" s="2" t="s">
        <v>33</v>
      </c>
      <c r="J146" s="2" t="s">
        <v>24</v>
      </c>
      <c r="K146" s="3">
        <v>132000</v>
      </c>
      <c r="L146" s="4">
        <v>0.18</v>
      </c>
      <c r="M146" s="3">
        <v>23760</v>
      </c>
      <c r="N146" s="3">
        <v>155760</v>
      </c>
      <c r="O146" s="2" t="s">
        <v>25</v>
      </c>
      <c r="P146" s="2" t="s">
        <v>54</v>
      </c>
      <c r="Q146" s="2" t="s">
        <v>27</v>
      </c>
    </row>
    <row r="147" spans="1:17" x14ac:dyDescent="0.25">
      <c r="A147" s="2" t="s">
        <v>256</v>
      </c>
      <c r="B147" s="5">
        <v>46168</v>
      </c>
      <c r="C147" s="2" t="s">
        <v>231</v>
      </c>
      <c r="D147" s="2" t="s">
        <v>19</v>
      </c>
      <c r="E147" s="2">
        <v>4002</v>
      </c>
      <c r="F147" s="2" t="s">
        <v>20</v>
      </c>
      <c r="G147" s="2" t="s">
        <v>56</v>
      </c>
      <c r="H147" s="2" t="s">
        <v>57</v>
      </c>
      <c r="I147" s="2" t="s">
        <v>23</v>
      </c>
      <c r="J147" s="2" t="s">
        <v>58</v>
      </c>
      <c r="K147" s="3">
        <v>109200</v>
      </c>
      <c r="L147" s="4">
        <v>0.18</v>
      </c>
      <c r="M147" s="3">
        <v>19656</v>
      </c>
      <c r="N147" s="3">
        <v>128856</v>
      </c>
      <c r="O147" s="2" t="s">
        <v>25</v>
      </c>
      <c r="P147" s="2" t="s">
        <v>35</v>
      </c>
      <c r="Q147" s="2" t="s">
        <v>27</v>
      </c>
    </row>
    <row r="148" spans="1:17" x14ac:dyDescent="0.25">
      <c r="A148" s="2" t="s">
        <v>257</v>
      </c>
      <c r="B148" s="5">
        <v>46169</v>
      </c>
      <c r="C148" s="2" t="s">
        <v>231</v>
      </c>
      <c r="D148" s="2" t="s">
        <v>38</v>
      </c>
      <c r="E148" s="2">
        <v>5203</v>
      </c>
      <c r="F148" s="2" t="s">
        <v>99</v>
      </c>
      <c r="G148" s="2" t="s">
        <v>100</v>
      </c>
      <c r="H148" s="2" t="s">
        <v>101</v>
      </c>
      <c r="I148" s="2" t="s">
        <v>33</v>
      </c>
      <c r="J148" s="2" t="s">
        <v>34</v>
      </c>
      <c r="K148" s="3">
        <v>25380</v>
      </c>
      <c r="L148" s="4">
        <v>0.05</v>
      </c>
      <c r="M148" s="3">
        <v>1269</v>
      </c>
      <c r="N148" s="3">
        <v>26649</v>
      </c>
      <c r="O148" s="2" t="s">
        <v>25</v>
      </c>
      <c r="P148" s="2" t="s">
        <v>54</v>
      </c>
      <c r="Q148" s="2" t="s">
        <v>36</v>
      </c>
    </row>
    <row r="149" spans="1:17" x14ac:dyDescent="0.25">
      <c r="A149" s="2" t="s">
        <v>258</v>
      </c>
      <c r="B149" s="5">
        <v>46170</v>
      </c>
      <c r="C149" s="2" t="s">
        <v>231</v>
      </c>
      <c r="D149" s="2" t="s">
        <v>50</v>
      </c>
      <c r="E149" s="2">
        <v>4101</v>
      </c>
      <c r="F149" s="2" t="s">
        <v>74</v>
      </c>
      <c r="G149" s="2" t="s">
        <v>75</v>
      </c>
      <c r="H149" s="2" t="s">
        <v>76</v>
      </c>
      <c r="I149" s="2" t="s">
        <v>23</v>
      </c>
      <c r="J149" s="2" t="s">
        <v>24</v>
      </c>
      <c r="K149" s="3">
        <v>17460</v>
      </c>
      <c r="L149" s="4">
        <v>0</v>
      </c>
      <c r="M149" s="3">
        <v>0</v>
      </c>
      <c r="N149" s="3">
        <v>17460</v>
      </c>
      <c r="O149" s="2" t="s">
        <v>48</v>
      </c>
      <c r="P149" s="2" t="s">
        <v>42</v>
      </c>
      <c r="Q149" s="2" t="s">
        <v>68</v>
      </c>
    </row>
    <row r="150" spans="1:17" x14ac:dyDescent="0.25">
      <c r="A150" s="2" t="s">
        <v>259</v>
      </c>
      <c r="B150" s="5">
        <v>46171</v>
      </c>
      <c r="C150" s="2" t="s">
        <v>231</v>
      </c>
      <c r="D150" s="2" t="s">
        <v>60</v>
      </c>
      <c r="E150" s="2">
        <v>5501</v>
      </c>
      <c r="F150" s="2" t="s">
        <v>61</v>
      </c>
      <c r="G150" s="2" t="s">
        <v>117</v>
      </c>
      <c r="H150" s="2" t="s">
        <v>118</v>
      </c>
      <c r="I150" s="2" t="s">
        <v>33</v>
      </c>
      <c r="J150" s="2" t="s">
        <v>34</v>
      </c>
      <c r="K150" s="3">
        <v>72000</v>
      </c>
      <c r="L150" s="4">
        <v>0.18</v>
      </c>
      <c r="M150" s="3">
        <v>12960</v>
      </c>
      <c r="N150" s="3">
        <v>84960</v>
      </c>
      <c r="O150" s="2" t="s">
        <v>25</v>
      </c>
      <c r="P150" s="2" t="s">
        <v>35</v>
      </c>
      <c r="Q150" s="2" t="s">
        <v>27</v>
      </c>
    </row>
    <row r="151" spans="1:17" x14ac:dyDescent="0.25">
      <c r="A151" s="2" t="s">
        <v>260</v>
      </c>
      <c r="B151" s="5">
        <v>46172</v>
      </c>
      <c r="C151" s="2" t="s">
        <v>231</v>
      </c>
      <c r="D151" s="2" t="s">
        <v>44</v>
      </c>
      <c r="E151" s="2">
        <v>5303</v>
      </c>
      <c r="F151" s="2" t="s">
        <v>120</v>
      </c>
      <c r="G151" s="2" t="s">
        <v>121</v>
      </c>
      <c r="H151" s="2" t="s">
        <v>122</v>
      </c>
      <c r="I151" s="2" t="s">
        <v>33</v>
      </c>
      <c r="J151" s="2" t="s">
        <v>34</v>
      </c>
      <c r="K151" s="3">
        <v>41200</v>
      </c>
      <c r="L151" s="4">
        <v>0.18</v>
      </c>
      <c r="M151" s="3">
        <v>7416</v>
      </c>
      <c r="N151" s="3">
        <v>48616</v>
      </c>
      <c r="O151" s="2" t="s">
        <v>25</v>
      </c>
      <c r="P151" s="2" t="s">
        <v>42</v>
      </c>
      <c r="Q151" s="2" t="s">
        <v>36</v>
      </c>
    </row>
    <row r="152" spans="1:17" x14ac:dyDescent="0.25">
      <c r="A152" s="2" t="s">
        <v>261</v>
      </c>
      <c r="B152" s="5">
        <v>46173</v>
      </c>
      <c r="C152" s="2" t="s">
        <v>231</v>
      </c>
      <c r="D152" s="2" t="s">
        <v>19</v>
      </c>
      <c r="E152" s="2">
        <v>4002</v>
      </c>
      <c r="F152" s="2" t="s">
        <v>20</v>
      </c>
      <c r="G152" s="2" t="s">
        <v>109</v>
      </c>
      <c r="H152" s="2" t="s">
        <v>110</v>
      </c>
      <c r="I152" s="2" t="s">
        <v>23</v>
      </c>
      <c r="J152" s="2" t="s">
        <v>24</v>
      </c>
      <c r="K152" s="3">
        <v>222600</v>
      </c>
      <c r="L152" s="4">
        <v>0.18</v>
      </c>
      <c r="M152" s="3">
        <v>40068</v>
      </c>
      <c r="N152" s="3">
        <v>262668</v>
      </c>
      <c r="O152" s="2" t="s">
        <v>25</v>
      </c>
      <c r="P152" s="2" t="s">
        <v>42</v>
      </c>
      <c r="Q152" s="2" t="s">
        <v>27</v>
      </c>
    </row>
    <row r="153" spans="1:17" x14ac:dyDescent="0.25">
      <c r="A153" s="2" t="s">
        <v>262</v>
      </c>
      <c r="B153" s="5">
        <v>46174</v>
      </c>
      <c r="C153" s="2" t="s">
        <v>263</v>
      </c>
      <c r="D153" s="2" t="s">
        <v>38</v>
      </c>
      <c r="E153" s="2">
        <v>5204</v>
      </c>
      <c r="F153" s="2" t="s">
        <v>131</v>
      </c>
      <c r="G153" s="2" t="s">
        <v>132</v>
      </c>
      <c r="H153" s="2" t="s">
        <v>133</v>
      </c>
      <c r="I153" s="2" t="s">
        <v>33</v>
      </c>
      <c r="J153" s="2" t="s">
        <v>58</v>
      </c>
      <c r="K153" s="3">
        <v>27250</v>
      </c>
      <c r="L153" s="4">
        <v>0.18</v>
      </c>
      <c r="M153" s="3">
        <v>4905</v>
      </c>
      <c r="N153" s="3">
        <v>32155</v>
      </c>
      <c r="O153" s="2" t="s">
        <v>48</v>
      </c>
      <c r="P153" s="2" t="s">
        <v>35</v>
      </c>
      <c r="Q153" s="2" t="s">
        <v>68</v>
      </c>
    </row>
    <row r="154" spans="1:17" x14ac:dyDescent="0.25">
      <c r="A154" s="2" t="s">
        <v>264</v>
      </c>
      <c r="B154" s="5">
        <v>46175</v>
      </c>
      <c r="C154" s="2" t="s">
        <v>263</v>
      </c>
      <c r="D154" s="2" t="s">
        <v>29</v>
      </c>
      <c r="E154" s="2">
        <v>5105</v>
      </c>
      <c r="F154" s="2" t="s">
        <v>135</v>
      </c>
      <c r="G154" s="2" t="s">
        <v>136</v>
      </c>
      <c r="H154" s="2" t="s">
        <v>137</v>
      </c>
      <c r="I154" s="2" t="s">
        <v>33</v>
      </c>
      <c r="J154" s="2" t="s">
        <v>24</v>
      </c>
      <c r="K154" s="3">
        <v>56000</v>
      </c>
      <c r="L154" s="4">
        <v>0.18</v>
      </c>
      <c r="M154" s="3">
        <v>10080</v>
      </c>
      <c r="N154" s="3">
        <v>66080</v>
      </c>
      <c r="O154" s="2" t="s">
        <v>25</v>
      </c>
      <c r="P154" s="2" t="s">
        <v>42</v>
      </c>
      <c r="Q154" s="2" t="s">
        <v>36</v>
      </c>
    </row>
    <row r="155" spans="1:17" x14ac:dyDescent="0.25">
      <c r="A155" s="2" t="s">
        <v>265</v>
      </c>
      <c r="B155" s="5">
        <v>46176</v>
      </c>
      <c r="C155" s="2" t="s">
        <v>263</v>
      </c>
      <c r="D155" s="2" t="s">
        <v>29</v>
      </c>
      <c r="E155" s="2">
        <v>5102</v>
      </c>
      <c r="F155" s="2" t="s">
        <v>30</v>
      </c>
      <c r="G155" s="2" t="s">
        <v>31</v>
      </c>
      <c r="H155" s="2" t="s">
        <v>32</v>
      </c>
      <c r="I155" s="2" t="s">
        <v>33</v>
      </c>
      <c r="J155" s="2" t="s">
        <v>34</v>
      </c>
      <c r="K155" s="3">
        <v>39600</v>
      </c>
      <c r="L155" s="4">
        <v>0.18</v>
      </c>
      <c r="M155" s="3">
        <v>7128</v>
      </c>
      <c r="N155" s="3">
        <v>46728</v>
      </c>
      <c r="O155" s="2" t="s">
        <v>25</v>
      </c>
      <c r="P155" s="2" t="s">
        <v>35</v>
      </c>
      <c r="Q155" s="2" t="s">
        <v>36</v>
      </c>
    </row>
    <row r="156" spans="1:17" x14ac:dyDescent="0.25">
      <c r="A156" s="2" t="s">
        <v>266</v>
      </c>
      <c r="B156" s="5">
        <v>46177</v>
      </c>
      <c r="C156" s="2" t="s">
        <v>263</v>
      </c>
      <c r="D156" s="2" t="s">
        <v>19</v>
      </c>
      <c r="E156" s="2">
        <v>4003</v>
      </c>
      <c r="F156" s="2" t="s">
        <v>20</v>
      </c>
      <c r="G156" s="2" t="s">
        <v>92</v>
      </c>
      <c r="H156" s="2" t="s">
        <v>93</v>
      </c>
      <c r="I156" s="2" t="s">
        <v>23</v>
      </c>
      <c r="J156" s="2" t="s">
        <v>24</v>
      </c>
      <c r="K156" s="3">
        <v>86450</v>
      </c>
      <c r="L156" s="4">
        <v>0.18</v>
      </c>
      <c r="M156" s="3">
        <v>15561</v>
      </c>
      <c r="N156" s="3">
        <v>102011</v>
      </c>
      <c r="O156" s="2" t="s">
        <v>25</v>
      </c>
      <c r="P156" s="2" t="s">
        <v>35</v>
      </c>
      <c r="Q156" s="2" t="s">
        <v>36</v>
      </c>
    </row>
    <row r="157" spans="1:17" x14ac:dyDescent="0.25">
      <c r="A157" s="2" t="s">
        <v>267</v>
      </c>
      <c r="B157" s="5">
        <v>46178</v>
      </c>
      <c r="C157" s="2" t="s">
        <v>263</v>
      </c>
      <c r="D157" s="2" t="s">
        <v>50</v>
      </c>
      <c r="E157" s="2">
        <v>4101</v>
      </c>
      <c r="F157" s="2" t="s">
        <v>74</v>
      </c>
      <c r="G157" s="2" t="s">
        <v>75</v>
      </c>
      <c r="H157" s="2" t="s">
        <v>76</v>
      </c>
      <c r="I157" s="2" t="s">
        <v>23</v>
      </c>
      <c r="J157" s="2" t="s">
        <v>24</v>
      </c>
      <c r="K157" s="3">
        <v>16920</v>
      </c>
      <c r="L157" s="4">
        <v>0</v>
      </c>
      <c r="M157" s="3">
        <v>0</v>
      </c>
      <c r="N157" s="3">
        <v>16920</v>
      </c>
      <c r="O157" s="2" t="s">
        <v>48</v>
      </c>
      <c r="P157" s="2" t="s">
        <v>42</v>
      </c>
      <c r="Q157" s="2" t="s">
        <v>68</v>
      </c>
    </row>
    <row r="158" spans="1:17" x14ac:dyDescent="0.25">
      <c r="A158" s="2" t="s">
        <v>268</v>
      </c>
      <c r="B158" s="5">
        <v>46179</v>
      </c>
      <c r="C158" s="2" t="s">
        <v>263</v>
      </c>
      <c r="D158" s="2" t="s">
        <v>50</v>
      </c>
      <c r="E158" s="2">
        <v>5401</v>
      </c>
      <c r="F158" s="2" t="s">
        <v>51</v>
      </c>
      <c r="G158" s="2" t="s">
        <v>52</v>
      </c>
      <c r="H158" s="2" t="s">
        <v>53</v>
      </c>
      <c r="I158" s="2" t="s">
        <v>33</v>
      </c>
      <c r="J158" s="2" t="s">
        <v>24</v>
      </c>
      <c r="K158" s="3">
        <v>58200</v>
      </c>
      <c r="L158" s="4">
        <v>0.18</v>
      </c>
      <c r="M158" s="3">
        <v>10476</v>
      </c>
      <c r="N158" s="3">
        <v>68676</v>
      </c>
      <c r="O158" s="2" t="s">
        <v>25</v>
      </c>
      <c r="P158" s="2" t="s">
        <v>54</v>
      </c>
      <c r="Q158" s="2" t="s">
        <v>27</v>
      </c>
    </row>
    <row r="159" spans="1:17" x14ac:dyDescent="0.25">
      <c r="A159" s="2" t="s">
        <v>269</v>
      </c>
      <c r="B159" s="5">
        <v>46180</v>
      </c>
      <c r="C159" s="2" t="s">
        <v>263</v>
      </c>
      <c r="D159" s="2" t="s">
        <v>60</v>
      </c>
      <c r="E159" s="2">
        <v>5501</v>
      </c>
      <c r="F159" s="2" t="s">
        <v>61</v>
      </c>
      <c r="G159" s="2" t="s">
        <v>62</v>
      </c>
      <c r="H159" s="2" t="s">
        <v>63</v>
      </c>
      <c r="I159" s="2" t="s">
        <v>33</v>
      </c>
      <c r="J159" s="2" t="s">
        <v>34</v>
      </c>
      <c r="K159" s="3">
        <v>72000</v>
      </c>
      <c r="L159" s="4">
        <v>0.18</v>
      </c>
      <c r="M159" s="3">
        <v>12960</v>
      </c>
      <c r="N159" s="3">
        <v>84960</v>
      </c>
      <c r="O159" s="2" t="s">
        <v>25</v>
      </c>
      <c r="P159" s="2" t="s">
        <v>42</v>
      </c>
      <c r="Q159" s="2" t="s">
        <v>27</v>
      </c>
    </row>
    <row r="160" spans="1:17" x14ac:dyDescent="0.25">
      <c r="A160" s="2" t="s">
        <v>270</v>
      </c>
      <c r="B160" s="5">
        <v>46181</v>
      </c>
      <c r="C160" s="2" t="s">
        <v>263</v>
      </c>
      <c r="D160" s="2" t="s">
        <v>38</v>
      </c>
      <c r="E160" s="2">
        <v>5202</v>
      </c>
      <c r="F160" s="2" t="s">
        <v>65</v>
      </c>
      <c r="G160" s="2" t="s">
        <v>66</v>
      </c>
      <c r="H160" s="2" t="s">
        <v>67</v>
      </c>
      <c r="I160" s="2" t="s">
        <v>33</v>
      </c>
      <c r="J160" s="2" t="s">
        <v>58</v>
      </c>
      <c r="K160" s="3">
        <v>15450</v>
      </c>
      <c r="L160" s="4">
        <v>0.18</v>
      </c>
      <c r="M160" s="3">
        <v>2781</v>
      </c>
      <c r="N160" s="3">
        <v>18231</v>
      </c>
      <c r="O160" s="2" t="s">
        <v>25</v>
      </c>
      <c r="P160" s="2" t="s">
        <v>26</v>
      </c>
      <c r="Q160" s="2" t="s">
        <v>68</v>
      </c>
    </row>
    <row r="161" spans="1:17" x14ac:dyDescent="0.25">
      <c r="A161" s="2" t="s">
        <v>271</v>
      </c>
      <c r="B161" s="5">
        <v>46182</v>
      </c>
      <c r="C161" s="2" t="s">
        <v>263</v>
      </c>
      <c r="D161" s="2" t="s">
        <v>29</v>
      </c>
      <c r="E161" s="2">
        <v>5103</v>
      </c>
      <c r="F161" s="2" t="s">
        <v>70</v>
      </c>
      <c r="G161" s="2" t="s">
        <v>71</v>
      </c>
      <c r="H161" s="2" t="s">
        <v>72</v>
      </c>
      <c r="I161" s="2" t="s">
        <v>33</v>
      </c>
      <c r="J161" s="2" t="s">
        <v>24</v>
      </c>
      <c r="K161" s="3">
        <v>95400</v>
      </c>
      <c r="L161" s="4">
        <v>0.18</v>
      </c>
      <c r="M161" s="3">
        <v>17172</v>
      </c>
      <c r="N161" s="3">
        <v>112572</v>
      </c>
      <c r="O161" s="2" t="s">
        <v>48</v>
      </c>
      <c r="P161" s="2" t="s">
        <v>54</v>
      </c>
      <c r="Q161" s="2" t="s">
        <v>27</v>
      </c>
    </row>
    <row r="162" spans="1:17" x14ac:dyDescent="0.25">
      <c r="A162" s="2" t="s">
        <v>272</v>
      </c>
      <c r="B162" s="5">
        <v>46183</v>
      </c>
      <c r="C162" s="2" t="s">
        <v>263</v>
      </c>
      <c r="D162" s="2" t="s">
        <v>19</v>
      </c>
      <c r="E162" s="2">
        <v>4001</v>
      </c>
      <c r="F162" s="2" t="s">
        <v>20</v>
      </c>
      <c r="G162" s="2" t="s">
        <v>21</v>
      </c>
      <c r="H162" s="2" t="s">
        <v>22</v>
      </c>
      <c r="I162" s="2" t="s">
        <v>23</v>
      </c>
      <c r="J162" s="2" t="s">
        <v>24</v>
      </c>
      <c r="K162" s="3">
        <v>272500</v>
      </c>
      <c r="L162" s="4">
        <v>0.18</v>
      </c>
      <c r="M162" s="3">
        <v>49050</v>
      </c>
      <c r="N162" s="3">
        <v>321550</v>
      </c>
      <c r="O162" s="2" t="s">
        <v>25</v>
      </c>
      <c r="P162" s="2" t="s">
        <v>26</v>
      </c>
      <c r="Q162" s="2" t="s">
        <v>27</v>
      </c>
    </row>
    <row r="163" spans="1:17" x14ac:dyDescent="0.25">
      <c r="A163" s="2" t="s">
        <v>273</v>
      </c>
      <c r="B163" s="5">
        <v>46184</v>
      </c>
      <c r="C163" s="2" t="s">
        <v>263</v>
      </c>
      <c r="D163" s="2" t="s">
        <v>19</v>
      </c>
      <c r="E163" s="2">
        <v>4002</v>
      </c>
      <c r="F163" s="2" t="s">
        <v>20</v>
      </c>
      <c r="G163" s="2" t="s">
        <v>56</v>
      </c>
      <c r="H163" s="2" t="s">
        <v>57</v>
      </c>
      <c r="I163" s="2" t="s">
        <v>23</v>
      </c>
      <c r="J163" s="2" t="s">
        <v>58</v>
      </c>
      <c r="K163" s="3">
        <v>134400</v>
      </c>
      <c r="L163" s="4">
        <v>0.18</v>
      </c>
      <c r="M163" s="3">
        <v>24192</v>
      </c>
      <c r="N163" s="3">
        <v>158592</v>
      </c>
      <c r="O163" s="2" t="s">
        <v>25</v>
      </c>
      <c r="P163" s="2" t="s">
        <v>35</v>
      </c>
      <c r="Q163" s="2" t="s">
        <v>27</v>
      </c>
    </row>
    <row r="164" spans="1:17" x14ac:dyDescent="0.25">
      <c r="A164" s="2" t="s">
        <v>274</v>
      </c>
      <c r="B164" s="5">
        <v>46185</v>
      </c>
      <c r="C164" s="2" t="s">
        <v>263</v>
      </c>
      <c r="D164" s="2" t="s">
        <v>50</v>
      </c>
      <c r="E164" s="2">
        <v>5402</v>
      </c>
      <c r="F164" s="2" t="s">
        <v>95</v>
      </c>
      <c r="G164" s="2" t="s">
        <v>96</v>
      </c>
      <c r="H164" s="2" t="s">
        <v>97</v>
      </c>
      <c r="I164" s="2" t="s">
        <v>33</v>
      </c>
      <c r="J164" s="2" t="s">
        <v>24</v>
      </c>
      <c r="K164" s="3">
        <v>48400</v>
      </c>
      <c r="L164" s="4">
        <v>0.18</v>
      </c>
      <c r="M164" s="3">
        <v>8712</v>
      </c>
      <c r="N164" s="3">
        <v>57112</v>
      </c>
      <c r="O164" s="2" t="s">
        <v>25</v>
      </c>
      <c r="P164" s="2" t="s">
        <v>42</v>
      </c>
      <c r="Q164" s="2" t="s">
        <v>27</v>
      </c>
    </row>
    <row r="165" spans="1:17" x14ac:dyDescent="0.25">
      <c r="A165" s="2" t="s">
        <v>275</v>
      </c>
      <c r="B165" s="5">
        <v>46186</v>
      </c>
      <c r="C165" s="2" t="s">
        <v>263</v>
      </c>
      <c r="D165" s="2" t="s">
        <v>38</v>
      </c>
      <c r="E165" s="2">
        <v>5203</v>
      </c>
      <c r="F165" s="2" t="s">
        <v>99</v>
      </c>
      <c r="G165" s="2" t="s">
        <v>100</v>
      </c>
      <c r="H165" s="2" t="s">
        <v>101</v>
      </c>
      <c r="I165" s="2" t="s">
        <v>33</v>
      </c>
      <c r="J165" s="2" t="s">
        <v>34</v>
      </c>
      <c r="K165" s="3">
        <v>24570</v>
      </c>
      <c r="L165" s="4">
        <v>0.05</v>
      </c>
      <c r="M165" s="3">
        <v>1229</v>
      </c>
      <c r="N165" s="3">
        <v>25799</v>
      </c>
      <c r="O165" s="2" t="s">
        <v>48</v>
      </c>
      <c r="P165" s="2" t="s">
        <v>54</v>
      </c>
      <c r="Q165" s="2" t="s">
        <v>36</v>
      </c>
    </row>
    <row r="166" spans="1:17" x14ac:dyDescent="0.25">
      <c r="A166" s="2" t="s">
        <v>276</v>
      </c>
      <c r="B166" s="5">
        <v>46187</v>
      </c>
      <c r="C166" s="2" t="s">
        <v>263</v>
      </c>
      <c r="D166" s="2" t="s">
        <v>29</v>
      </c>
      <c r="E166" s="2">
        <v>5104</v>
      </c>
      <c r="F166" s="2" t="s">
        <v>112</v>
      </c>
      <c r="G166" s="2" t="s">
        <v>113</v>
      </c>
      <c r="H166" s="2" t="s">
        <v>114</v>
      </c>
      <c r="I166" s="2" t="s">
        <v>33</v>
      </c>
      <c r="J166" s="2" t="s">
        <v>24</v>
      </c>
      <c r="K166" s="3">
        <v>61100</v>
      </c>
      <c r="L166" s="4">
        <v>0.18</v>
      </c>
      <c r="M166" s="3">
        <v>10998</v>
      </c>
      <c r="N166" s="3">
        <v>72098</v>
      </c>
      <c r="O166" s="2" t="s">
        <v>25</v>
      </c>
      <c r="P166" s="2" t="s">
        <v>54</v>
      </c>
      <c r="Q166" s="2" t="s">
        <v>36</v>
      </c>
    </row>
    <row r="167" spans="1:17" x14ac:dyDescent="0.25">
      <c r="A167" s="2" t="s">
        <v>277</v>
      </c>
      <c r="B167" s="5">
        <v>46188</v>
      </c>
      <c r="C167" s="2" t="s">
        <v>263</v>
      </c>
      <c r="D167" s="2" t="s">
        <v>19</v>
      </c>
      <c r="E167" s="2">
        <v>4001</v>
      </c>
      <c r="F167" s="2" t="s">
        <v>20</v>
      </c>
      <c r="G167" s="2" t="s">
        <v>128</v>
      </c>
      <c r="H167" s="2" t="s">
        <v>129</v>
      </c>
      <c r="I167" s="2" t="s">
        <v>23</v>
      </c>
      <c r="J167" s="2" t="s">
        <v>24</v>
      </c>
      <c r="K167" s="3">
        <v>291000</v>
      </c>
      <c r="L167" s="4">
        <v>0.18</v>
      </c>
      <c r="M167" s="3">
        <v>52380</v>
      </c>
      <c r="N167" s="3">
        <v>343380</v>
      </c>
      <c r="O167" s="2" t="s">
        <v>25</v>
      </c>
      <c r="P167" s="2" t="s">
        <v>26</v>
      </c>
      <c r="Q167" s="2" t="s">
        <v>27</v>
      </c>
    </row>
    <row r="168" spans="1:17" x14ac:dyDescent="0.25">
      <c r="A168" s="2" t="s">
        <v>278</v>
      </c>
      <c r="B168" s="5">
        <v>46189</v>
      </c>
      <c r="C168" s="2" t="s">
        <v>263</v>
      </c>
      <c r="D168" s="2" t="s">
        <v>44</v>
      </c>
      <c r="E168" s="2">
        <v>5303</v>
      </c>
      <c r="F168" s="2" t="s">
        <v>120</v>
      </c>
      <c r="G168" s="2" t="s">
        <v>121</v>
      </c>
      <c r="H168" s="2" t="s">
        <v>122</v>
      </c>
      <c r="I168" s="2" t="s">
        <v>33</v>
      </c>
      <c r="J168" s="2" t="s">
        <v>34</v>
      </c>
      <c r="K168" s="3">
        <v>40000</v>
      </c>
      <c r="L168" s="4">
        <v>0.18</v>
      </c>
      <c r="M168" s="3">
        <v>7200</v>
      </c>
      <c r="N168" s="3">
        <v>47200</v>
      </c>
      <c r="O168" s="2" t="s">
        <v>25</v>
      </c>
      <c r="P168" s="2" t="s">
        <v>42</v>
      </c>
      <c r="Q168" s="2" t="s">
        <v>36</v>
      </c>
    </row>
    <row r="169" spans="1:17" x14ac:dyDescent="0.25">
      <c r="A169" s="2" t="s">
        <v>279</v>
      </c>
      <c r="B169" s="5">
        <v>46190</v>
      </c>
      <c r="C169" s="2" t="s">
        <v>263</v>
      </c>
      <c r="D169" s="2" t="s">
        <v>50</v>
      </c>
      <c r="E169" s="2">
        <v>5403</v>
      </c>
      <c r="F169" s="2" t="s">
        <v>124</v>
      </c>
      <c r="G169" s="2" t="s">
        <v>125</v>
      </c>
      <c r="H169" s="2" t="s">
        <v>126</v>
      </c>
      <c r="I169" s="2" t="s">
        <v>33</v>
      </c>
      <c r="J169" s="2" t="s">
        <v>24</v>
      </c>
      <c r="K169" s="3">
        <v>48410</v>
      </c>
      <c r="L169" s="4">
        <v>0.18</v>
      </c>
      <c r="M169" s="3">
        <v>8714</v>
      </c>
      <c r="N169" s="3">
        <v>57124</v>
      </c>
      <c r="O169" s="2" t="s">
        <v>48</v>
      </c>
      <c r="P169" s="2" t="s">
        <v>54</v>
      </c>
      <c r="Q169" s="2" t="s">
        <v>27</v>
      </c>
    </row>
    <row r="170" spans="1:17" x14ac:dyDescent="0.25">
      <c r="A170" s="2" t="s">
        <v>280</v>
      </c>
      <c r="B170" s="5">
        <v>46191</v>
      </c>
      <c r="C170" s="2" t="s">
        <v>263</v>
      </c>
      <c r="D170" s="2" t="s">
        <v>19</v>
      </c>
      <c r="E170" s="2">
        <v>4001</v>
      </c>
      <c r="F170" s="2" t="s">
        <v>20</v>
      </c>
      <c r="G170" s="2" t="s">
        <v>21</v>
      </c>
      <c r="H170" s="2" t="s">
        <v>22</v>
      </c>
      <c r="I170" s="2" t="s">
        <v>23</v>
      </c>
      <c r="J170" s="2" t="s">
        <v>24</v>
      </c>
      <c r="K170" s="3">
        <v>265000</v>
      </c>
      <c r="L170" s="4">
        <v>0.18</v>
      </c>
      <c r="M170" s="3">
        <v>47700</v>
      </c>
      <c r="N170" s="3">
        <v>312700</v>
      </c>
      <c r="O170" s="2" t="s">
        <v>25</v>
      </c>
      <c r="P170" s="2" t="s">
        <v>26</v>
      </c>
      <c r="Q170" s="2" t="s">
        <v>27</v>
      </c>
    </row>
    <row r="171" spans="1:17" x14ac:dyDescent="0.25">
      <c r="A171" s="2" t="s">
        <v>281</v>
      </c>
      <c r="B171" s="5">
        <v>46192</v>
      </c>
      <c r="C171" s="2" t="s">
        <v>263</v>
      </c>
      <c r="D171" s="2" t="s">
        <v>29</v>
      </c>
      <c r="E171" s="2">
        <v>5105</v>
      </c>
      <c r="F171" s="2" t="s">
        <v>135</v>
      </c>
      <c r="G171" s="2" t="s">
        <v>136</v>
      </c>
      <c r="H171" s="2" t="s">
        <v>137</v>
      </c>
      <c r="I171" s="2" t="s">
        <v>33</v>
      </c>
      <c r="J171" s="2" t="s">
        <v>24</v>
      </c>
      <c r="K171" s="3">
        <v>54500</v>
      </c>
      <c r="L171" s="4">
        <v>0.18</v>
      </c>
      <c r="M171" s="3">
        <v>9810</v>
      </c>
      <c r="N171" s="3">
        <v>64310</v>
      </c>
      <c r="O171" s="2" t="s">
        <v>25</v>
      </c>
      <c r="P171" s="2" t="s">
        <v>42</v>
      </c>
      <c r="Q171" s="2" t="s">
        <v>36</v>
      </c>
    </row>
    <row r="172" spans="1:17" x14ac:dyDescent="0.25">
      <c r="A172" s="2" t="s">
        <v>282</v>
      </c>
      <c r="B172" s="5">
        <v>46193</v>
      </c>
      <c r="C172" s="2" t="s">
        <v>263</v>
      </c>
      <c r="D172" s="2" t="s">
        <v>19</v>
      </c>
      <c r="E172" s="2">
        <v>4003</v>
      </c>
      <c r="F172" s="2" t="s">
        <v>20</v>
      </c>
      <c r="G172" s="2" t="s">
        <v>92</v>
      </c>
      <c r="H172" s="2" t="s">
        <v>93</v>
      </c>
      <c r="I172" s="2" t="s">
        <v>23</v>
      </c>
      <c r="J172" s="2" t="s">
        <v>24</v>
      </c>
      <c r="K172" s="3">
        <v>106400</v>
      </c>
      <c r="L172" s="4">
        <v>0.18</v>
      </c>
      <c r="M172" s="3">
        <v>19152</v>
      </c>
      <c r="N172" s="3">
        <v>125552</v>
      </c>
      <c r="O172" s="2" t="s">
        <v>25</v>
      </c>
      <c r="P172" s="2" t="s">
        <v>35</v>
      </c>
      <c r="Q172" s="2" t="s">
        <v>36</v>
      </c>
    </row>
    <row r="173" spans="1:17" x14ac:dyDescent="0.25">
      <c r="A173" s="2" t="s">
        <v>283</v>
      </c>
      <c r="B173" s="5">
        <v>46194</v>
      </c>
      <c r="C173" s="2" t="s">
        <v>263</v>
      </c>
      <c r="D173" s="2" t="s">
        <v>38</v>
      </c>
      <c r="E173" s="2">
        <v>5201</v>
      </c>
      <c r="F173" s="2" t="s">
        <v>39</v>
      </c>
      <c r="G173" s="2" t="s">
        <v>40</v>
      </c>
      <c r="H173" s="2" t="s">
        <v>41</v>
      </c>
      <c r="I173" s="2" t="s">
        <v>33</v>
      </c>
      <c r="J173" s="2" t="s">
        <v>24</v>
      </c>
      <c r="K173" s="3">
        <v>70400</v>
      </c>
      <c r="L173" s="4">
        <v>0.18</v>
      </c>
      <c r="M173" s="3">
        <v>12672</v>
      </c>
      <c r="N173" s="3">
        <v>83072</v>
      </c>
      <c r="O173" s="2" t="s">
        <v>48</v>
      </c>
      <c r="P173" s="2" t="s">
        <v>42</v>
      </c>
      <c r="Q173" s="2" t="s">
        <v>27</v>
      </c>
    </row>
    <row r="174" spans="1:17" x14ac:dyDescent="0.25">
      <c r="A174" s="2" t="s">
        <v>284</v>
      </c>
      <c r="B174" s="5">
        <v>46195</v>
      </c>
      <c r="C174" s="2" t="s">
        <v>263</v>
      </c>
      <c r="D174" s="2" t="s">
        <v>44</v>
      </c>
      <c r="E174" s="2">
        <v>5301</v>
      </c>
      <c r="F174" s="2" t="s">
        <v>45</v>
      </c>
      <c r="G174" s="2" t="s">
        <v>46</v>
      </c>
      <c r="H174" s="2" t="s">
        <v>47</v>
      </c>
      <c r="I174" s="2" t="s">
        <v>33</v>
      </c>
      <c r="J174" s="2" t="s">
        <v>24</v>
      </c>
      <c r="K174" s="3">
        <v>27300</v>
      </c>
      <c r="L174" s="4">
        <v>0.18</v>
      </c>
      <c r="M174" s="3">
        <v>4914</v>
      </c>
      <c r="N174" s="3">
        <v>32214</v>
      </c>
      <c r="O174" s="2" t="s">
        <v>25</v>
      </c>
      <c r="P174" s="2" t="s">
        <v>26</v>
      </c>
      <c r="Q174" s="2" t="s">
        <v>36</v>
      </c>
    </row>
    <row r="175" spans="1:17" x14ac:dyDescent="0.25">
      <c r="A175" s="2" t="s">
        <v>285</v>
      </c>
      <c r="B175" s="5">
        <v>46196</v>
      </c>
      <c r="C175" s="2" t="s">
        <v>263</v>
      </c>
      <c r="D175" s="2" t="s">
        <v>50</v>
      </c>
      <c r="E175" s="2">
        <v>5401</v>
      </c>
      <c r="F175" s="2" t="s">
        <v>51</v>
      </c>
      <c r="G175" s="2" t="s">
        <v>52</v>
      </c>
      <c r="H175" s="2" t="s">
        <v>53</v>
      </c>
      <c r="I175" s="2" t="s">
        <v>33</v>
      </c>
      <c r="J175" s="2" t="s">
        <v>24</v>
      </c>
      <c r="K175" s="3">
        <v>56400</v>
      </c>
      <c r="L175" s="4">
        <v>0.18</v>
      </c>
      <c r="M175" s="3">
        <v>10152</v>
      </c>
      <c r="N175" s="3">
        <v>66552</v>
      </c>
      <c r="O175" s="2" t="s">
        <v>25</v>
      </c>
      <c r="P175" s="2" t="s">
        <v>54</v>
      </c>
      <c r="Q175" s="2" t="s">
        <v>27</v>
      </c>
    </row>
    <row r="176" spans="1:17" x14ac:dyDescent="0.25">
      <c r="A176" s="2" t="s">
        <v>286</v>
      </c>
      <c r="B176" s="5">
        <v>46197</v>
      </c>
      <c r="C176" s="2" t="s">
        <v>263</v>
      </c>
      <c r="D176" s="2" t="s">
        <v>60</v>
      </c>
      <c r="E176" s="2">
        <v>5501</v>
      </c>
      <c r="F176" s="2" t="s">
        <v>61</v>
      </c>
      <c r="G176" s="2" t="s">
        <v>62</v>
      </c>
      <c r="H176" s="2" t="s">
        <v>63</v>
      </c>
      <c r="I176" s="2" t="s">
        <v>33</v>
      </c>
      <c r="J176" s="2" t="s">
        <v>34</v>
      </c>
      <c r="K176" s="3">
        <v>69840</v>
      </c>
      <c r="L176" s="4">
        <v>0.18</v>
      </c>
      <c r="M176" s="3">
        <v>12571</v>
      </c>
      <c r="N176" s="3">
        <v>82411</v>
      </c>
      <c r="O176" s="2" t="s">
        <v>25</v>
      </c>
      <c r="P176" s="2" t="s">
        <v>42</v>
      </c>
      <c r="Q176" s="2" t="s">
        <v>27</v>
      </c>
    </row>
    <row r="177" spans="1:17" x14ac:dyDescent="0.25">
      <c r="A177" s="2" t="s">
        <v>287</v>
      </c>
      <c r="B177" s="5">
        <v>46198</v>
      </c>
      <c r="C177" s="2" t="s">
        <v>263</v>
      </c>
      <c r="D177" s="2" t="s">
        <v>19</v>
      </c>
      <c r="E177" s="2">
        <v>4003</v>
      </c>
      <c r="F177" s="2" t="s">
        <v>20</v>
      </c>
      <c r="G177" s="2" t="s">
        <v>79</v>
      </c>
      <c r="H177" s="2" t="s">
        <v>80</v>
      </c>
      <c r="I177" s="2" t="s">
        <v>23</v>
      </c>
      <c r="J177" s="2" t="s">
        <v>24</v>
      </c>
      <c r="K177" s="3">
        <v>175000</v>
      </c>
      <c r="L177" s="4">
        <v>0.18</v>
      </c>
      <c r="M177" s="3">
        <v>31500</v>
      </c>
      <c r="N177" s="3">
        <v>206500</v>
      </c>
      <c r="O177" s="2" t="s">
        <v>48</v>
      </c>
      <c r="P177" s="2" t="s">
        <v>26</v>
      </c>
      <c r="Q177" s="2" t="s">
        <v>27</v>
      </c>
    </row>
    <row r="178" spans="1:17" x14ac:dyDescent="0.25">
      <c r="A178" s="2" t="s">
        <v>288</v>
      </c>
      <c r="B178" s="5">
        <v>46199</v>
      </c>
      <c r="C178" s="2" t="s">
        <v>263</v>
      </c>
      <c r="D178" s="2" t="s">
        <v>29</v>
      </c>
      <c r="E178" s="2">
        <v>5103</v>
      </c>
      <c r="F178" s="2" t="s">
        <v>70</v>
      </c>
      <c r="G178" s="2" t="s">
        <v>71</v>
      </c>
      <c r="H178" s="2" t="s">
        <v>72</v>
      </c>
      <c r="I178" s="2" t="s">
        <v>33</v>
      </c>
      <c r="J178" s="2" t="s">
        <v>24</v>
      </c>
      <c r="K178" s="3">
        <v>92700</v>
      </c>
      <c r="L178" s="4">
        <v>0.18</v>
      </c>
      <c r="M178" s="3">
        <v>16686</v>
      </c>
      <c r="N178" s="3">
        <v>109386</v>
      </c>
      <c r="O178" s="2" t="s">
        <v>25</v>
      </c>
      <c r="P178" s="2" t="s">
        <v>54</v>
      </c>
      <c r="Q178" s="2" t="s">
        <v>27</v>
      </c>
    </row>
    <row r="179" spans="1:17" x14ac:dyDescent="0.25">
      <c r="A179" s="2" t="s">
        <v>289</v>
      </c>
      <c r="B179" s="5">
        <v>46200</v>
      </c>
      <c r="C179" s="2" t="s">
        <v>263</v>
      </c>
      <c r="D179" s="2" t="s">
        <v>44</v>
      </c>
      <c r="E179" s="2">
        <v>5302</v>
      </c>
      <c r="F179" s="2" t="s">
        <v>82</v>
      </c>
      <c r="G179" s="2" t="s">
        <v>83</v>
      </c>
      <c r="H179" s="2" t="s">
        <v>84</v>
      </c>
      <c r="I179" s="2" t="s">
        <v>33</v>
      </c>
      <c r="J179" s="2" t="s">
        <v>34</v>
      </c>
      <c r="K179" s="3">
        <v>23320</v>
      </c>
      <c r="L179" s="4">
        <v>0.18</v>
      </c>
      <c r="M179" s="3">
        <v>4198</v>
      </c>
      <c r="N179" s="3">
        <v>27518</v>
      </c>
      <c r="O179" s="2" t="s">
        <v>25</v>
      </c>
      <c r="P179" s="2" t="s">
        <v>35</v>
      </c>
      <c r="Q179" s="2" t="s">
        <v>36</v>
      </c>
    </row>
    <row r="180" spans="1:17" x14ac:dyDescent="0.25">
      <c r="A180" s="2" t="s">
        <v>290</v>
      </c>
      <c r="B180" s="5">
        <v>46201</v>
      </c>
      <c r="C180" s="2" t="s">
        <v>263</v>
      </c>
      <c r="D180" s="2" t="s">
        <v>60</v>
      </c>
      <c r="E180" s="2">
        <v>5502</v>
      </c>
      <c r="F180" s="2" t="s">
        <v>87</v>
      </c>
      <c r="G180" s="2" t="s">
        <v>88</v>
      </c>
      <c r="H180" s="2" t="s">
        <v>89</v>
      </c>
      <c r="I180" s="2" t="s">
        <v>33</v>
      </c>
      <c r="J180" s="2" t="s">
        <v>24</v>
      </c>
      <c r="K180" s="3">
        <v>163500</v>
      </c>
      <c r="L180" s="4">
        <v>0.18</v>
      </c>
      <c r="M180" s="3">
        <v>29430</v>
      </c>
      <c r="N180" s="3">
        <v>192930</v>
      </c>
      <c r="O180" s="2" t="s">
        <v>25</v>
      </c>
      <c r="P180" s="2" t="s">
        <v>54</v>
      </c>
      <c r="Q180" s="2" t="s">
        <v>27</v>
      </c>
    </row>
    <row r="181" spans="1:17" x14ac:dyDescent="0.25">
      <c r="A181" s="2" t="s">
        <v>291</v>
      </c>
      <c r="B181" s="5">
        <v>46202</v>
      </c>
      <c r="C181" s="2" t="s">
        <v>263</v>
      </c>
      <c r="D181" s="2" t="s">
        <v>50</v>
      </c>
      <c r="E181" s="2">
        <v>5402</v>
      </c>
      <c r="F181" s="2" t="s">
        <v>95</v>
      </c>
      <c r="G181" s="2" t="s">
        <v>96</v>
      </c>
      <c r="H181" s="2" t="s">
        <v>97</v>
      </c>
      <c r="I181" s="2" t="s">
        <v>33</v>
      </c>
      <c r="J181" s="2" t="s">
        <v>24</v>
      </c>
      <c r="K181" s="3">
        <v>61600</v>
      </c>
      <c r="L181" s="4">
        <v>0.18</v>
      </c>
      <c r="M181" s="3">
        <v>11088</v>
      </c>
      <c r="N181" s="3">
        <v>72688</v>
      </c>
      <c r="O181" s="2" t="s">
        <v>48</v>
      </c>
      <c r="P181" s="2" t="s">
        <v>42</v>
      </c>
      <c r="Q181" s="2" t="s">
        <v>27</v>
      </c>
    </row>
    <row r="182" spans="1:17" x14ac:dyDescent="0.25">
      <c r="A182" s="2" t="s">
        <v>292</v>
      </c>
      <c r="B182" s="5">
        <v>46203</v>
      </c>
      <c r="C182" s="2" t="s">
        <v>263</v>
      </c>
      <c r="D182" s="2" t="s">
        <v>50</v>
      </c>
      <c r="E182" s="2">
        <v>4102</v>
      </c>
      <c r="F182" s="2" t="s">
        <v>104</v>
      </c>
      <c r="G182" s="2" t="s">
        <v>105</v>
      </c>
      <c r="H182" s="2" t="s">
        <v>106</v>
      </c>
      <c r="I182" s="2" t="s">
        <v>23</v>
      </c>
      <c r="J182" s="2" t="s">
        <v>24</v>
      </c>
      <c r="K182" s="3">
        <v>10560</v>
      </c>
      <c r="L182" s="4">
        <v>0</v>
      </c>
      <c r="M182" s="3">
        <v>0</v>
      </c>
      <c r="N182" s="3">
        <v>10560</v>
      </c>
      <c r="O182" s="2" t="s">
        <v>25</v>
      </c>
      <c r="P182" s="2" t="s">
        <v>54</v>
      </c>
      <c r="Q182" s="2" t="s">
        <v>68</v>
      </c>
    </row>
    <row r="183" spans="1:17" x14ac:dyDescent="0.25">
      <c r="A183" s="2" t="s">
        <v>293</v>
      </c>
      <c r="B183" s="5">
        <v>46204</v>
      </c>
      <c r="C183" s="2" t="s">
        <v>294</v>
      </c>
      <c r="D183" s="2" t="s">
        <v>29</v>
      </c>
      <c r="E183" s="2">
        <v>5104</v>
      </c>
      <c r="F183" s="2" t="s">
        <v>112</v>
      </c>
      <c r="G183" s="2" t="s">
        <v>113</v>
      </c>
      <c r="H183" s="2" t="s">
        <v>114</v>
      </c>
      <c r="I183" s="2" t="s">
        <v>33</v>
      </c>
      <c r="J183" s="2" t="s">
        <v>24</v>
      </c>
      <c r="K183" s="3">
        <v>59150</v>
      </c>
      <c r="L183" s="4">
        <v>0.18</v>
      </c>
      <c r="M183" s="3">
        <v>10647</v>
      </c>
      <c r="N183" s="3">
        <v>69797</v>
      </c>
      <c r="O183" s="2" t="s">
        <v>25</v>
      </c>
      <c r="P183" s="2" t="s">
        <v>54</v>
      </c>
      <c r="Q183" s="2" t="s">
        <v>36</v>
      </c>
    </row>
    <row r="184" spans="1:17" x14ac:dyDescent="0.25">
      <c r="A184" s="2" t="s">
        <v>295</v>
      </c>
      <c r="B184" s="5">
        <v>46205</v>
      </c>
      <c r="C184" s="2" t="s">
        <v>294</v>
      </c>
      <c r="D184" s="2" t="s">
        <v>19</v>
      </c>
      <c r="E184" s="2">
        <v>4002</v>
      </c>
      <c r="F184" s="2" t="s">
        <v>20</v>
      </c>
      <c r="G184" s="2" t="s">
        <v>109</v>
      </c>
      <c r="H184" s="2" t="s">
        <v>110</v>
      </c>
      <c r="I184" s="2" t="s">
        <v>23</v>
      </c>
      <c r="J184" s="2" t="s">
        <v>24</v>
      </c>
      <c r="K184" s="3">
        <v>197400</v>
      </c>
      <c r="L184" s="4">
        <v>0.18</v>
      </c>
      <c r="M184" s="3">
        <v>35532</v>
      </c>
      <c r="N184" s="3">
        <v>232932</v>
      </c>
      <c r="O184" s="2" t="s">
        <v>25</v>
      </c>
      <c r="P184" s="2" t="s">
        <v>42</v>
      </c>
      <c r="Q184" s="2" t="s">
        <v>27</v>
      </c>
    </row>
    <row r="185" spans="1:17" x14ac:dyDescent="0.25">
      <c r="A185" s="2" t="s">
        <v>296</v>
      </c>
      <c r="B185" s="5">
        <v>46206</v>
      </c>
      <c r="C185" s="2" t="s">
        <v>294</v>
      </c>
      <c r="D185" s="2" t="s">
        <v>44</v>
      </c>
      <c r="E185" s="2">
        <v>5303</v>
      </c>
      <c r="F185" s="2" t="s">
        <v>120</v>
      </c>
      <c r="G185" s="2" t="s">
        <v>121</v>
      </c>
      <c r="H185" s="2" t="s">
        <v>122</v>
      </c>
      <c r="I185" s="2" t="s">
        <v>33</v>
      </c>
      <c r="J185" s="2" t="s">
        <v>34</v>
      </c>
      <c r="K185" s="3">
        <v>38800</v>
      </c>
      <c r="L185" s="4">
        <v>0.18</v>
      </c>
      <c r="M185" s="3">
        <v>6984</v>
      </c>
      <c r="N185" s="3">
        <v>45784</v>
      </c>
      <c r="O185" s="2" t="s">
        <v>48</v>
      </c>
      <c r="P185" s="2" t="s">
        <v>42</v>
      </c>
      <c r="Q185" s="2" t="s">
        <v>36</v>
      </c>
    </row>
    <row r="186" spans="1:17" x14ac:dyDescent="0.25">
      <c r="A186" s="2" t="s">
        <v>297</v>
      </c>
      <c r="B186" s="5">
        <v>46207</v>
      </c>
      <c r="C186" s="2" t="s">
        <v>294</v>
      </c>
      <c r="D186" s="2" t="s">
        <v>50</v>
      </c>
      <c r="E186" s="2">
        <v>5403</v>
      </c>
      <c r="F186" s="2" t="s">
        <v>124</v>
      </c>
      <c r="G186" s="2" t="s">
        <v>125</v>
      </c>
      <c r="H186" s="2" t="s">
        <v>126</v>
      </c>
      <c r="I186" s="2" t="s">
        <v>33</v>
      </c>
      <c r="J186" s="2" t="s">
        <v>24</v>
      </c>
      <c r="K186" s="3">
        <v>47000</v>
      </c>
      <c r="L186" s="4">
        <v>0.18</v>
      </c>
      <c r="M186" s="3">
        <v>8460</v>
      </c>
      <c r="N186" s="3">
        <v>55460</v>
      </c>
      <c r="O186" s="2" t="s">
        <v>25</v>
      </c>
      <c r="P186" s="2" t="s">
        <v>54</v>
      </c>
      <c r="Q186" s="2" t="s">
        <v>27</v>
      </c>
    </row>
    <row r="187" spans="1:17" x14ac:dyDescent="0.25">
      <c r="A187" s="2" t="s">
        <v>298</v>
      </c>
      <c r="B187" s="5">
        <v>46208</v>
      </c>
      <c r="C187" s="2" t="s">
        <v>294</v>
      </c>
      <c r="D187" s="2" t="s">
        <v>19</v>
      </c>
      <c r="E187" s="2">
        <v>4002</v>
      </c>
      <c r="F187" s="2" t="s">
        <v>20</v>
      </c>
      <c r="G187" s="2" t="s">
        <v>56</v>
      </c>
      <c r="H187" s="2" t="s">
        <v>57</v>
      </c>
      <c r="I187" s="2" t="s">
        <v>23</v>
      </c>
      <c r="J187" s="2" t="s">
        <v>58</v>
      </c>
      <c r="K187" s="3">
        <v>123600</v>
      </c>
      <c r="L187" s="4">
        <v>0.18</v>
      </c>
      <c r="M187" s="3">
        <v>22248</v>
      </c>
      <c r="N187" s="3">
        <v>145848</v>
      </c>
      <c r="O187" s="2" t="s">
        <v>25</v>
      </c>
      <c r="P187" s="2" t="s">
        <v>35</v>
      </c>
      <c r="Q187" s="2" t="s">
        <v>27</v>
      </c>
    </row>
    <row r="188" spans="1:17" x14ac:dyDescent="0.25">
      <c r="A188" s="2" t="s">
        <v>299</v>
      </c>
      <c r="B188" s="5">
        <v>46209</v>
      </c>
      <c r="C188" s="2" t="s">
        <v>294</v>
      </c>
      <c r="D188" s="2" t="s">
        <v>29</v>
      </c>
      <c r="E188" s="2">
        <v>5105</v>
      </c>
      <c r="F188" s="2" t="s">
        <v>135</v>
      </c>
      <c r="G188" s="2" t="s">
        <v>136</v>
      </c>
      <c r="H188" s="2" t="s">
        <v>137</v>
      </c>
      <c r="I188" s="2" t="s">
        <v>33</v>
      </c>
      <c r="J188" s="2" t="s">
        <v>24</v>
      </c>
      <c r="K188" s="3">
        <v>53000</v>
      </c>
      <c r="L188" s="4">
        <v>0.18</v>
      </c>
      <c r="M188" s="3">
        <v>9540</v>
      </c>
      <c r="N188" s="3">
        <v>62540</v>
      </c>
      <c r="O188" s="2" t="s">
        <v>25</v>
      </c>
      <c r="P188" s="2" t="s">
        <v>42</v>
      </c>
      <c r="Q188" s="2" t="s">
        <v>36</v>
      </c>
    </row>
    <row r="189" spans="1:17" x14ac:dyDescent="0.25">
      <c r="A189" s="2" t="s">
        <v>300</v>
      </c>
      <c r="B189" s="5">
        <v>46210</v>
      </c>
      <c r="C189" s="2" t="s">
        <v>294</v>
      </c>
      <c r="D189" s="2" t="s">
        <v>29</v>
      </c>
      <c r="E189" s="2">
        <v>5102</v>
      </c>
      <c r="F189" s="2" t="s">
        <v>30</v>
      </c>
      <c r="G189" s="2" t="s">
        <v>31</v>
      </c>
      <c r="H189" s="2" t="s">
        <v>32</v>
      </c>
      <c r="I189" s="2" t="s">
        <v>33</v>
      </c>
      <c r="J189" s="2" t="s">
        <v>34</v>
      </c>
      <c r="K189" s="3">
        <v>49050</v>
      </c>
      <c r="L189" s="4">
        <v>0.18</v>
      </c>
      <c r="M189" s="3">
        <v>8829</v>
      </c>
      <c r="N189" s="3">
        <v>57879</v>
      </c>
      <c r="O189" s="2" t="s">
        <v>48</v>
      </c>
      <c r="P189" s="2" t="s">
        <v>35</v>
      </c>
      <c r="Q189" s="2" t="s">
        <v>36</v>
      </c>
    </row>
    <row r="190" spans="1:17" x14ac:dyDescent="0.25">
      <c r="A190" s="2" t="s">
        <v>301</v>
      </c>
      <c r="B190" s="5">
        <v>46211</v>
      </c>
      <c r="C190" s="2" t="s">
        <v>294</v>
      </c>
      <c r="D190" s="2" t="s">
        <v>38</v>
      </c>
      <c r="E190" s="2">
        <v>5201</v>
      </c>
      <c r="F190" s="2" t="s">
        <v>39</v>
      </c>
      <c r="G190" s="2" t="s">
        <v>40</v>
      </c>
      <c r="H190" s="2" t="s">
        <v>41</v>
      </c>
      <c r="I190" s="2" t="s">
        <v>33</v>
      </c>
      <c r="J190" s="2" t="s">
        <v>24</v>
      </c>
      <c r="K190" s="3">
        <v>89600</v>
      </c>
      <c r="L190" s="4">
        <v>0.18</v>
      </c>
      <c r="M190" s="3">
        <v>16128</v>
      </c>
      <c r="N190" s="3">
        <v>105728</v>
      </c>
      <c r="O190" s="2" t="s">
        <v>25</v>
      </c>
      <c r="P190" s="2" t="s">
        <v>42</v>
      </c>
      <c r="Q190" s="2" t="s">
        <v>27</v>
      </c>
    </row>
    <row r="191" spans="1:17" x14ac:dyDescent="0.25">
      <c r="A191" s="2" t="s">
        <v>302</v>
      </c>
      <c r="B191" s="5">
        <v>46212</v>
      </c>
      <c r="C191" s="2" t="s">
        <v>294</v>
      </c>
      <c r="D191" s="2" t="s">
        <v>19</v>
      </c>
      <c r="E191" s="2">
        <v>4001</v>
      </c>
      <c r="F191" s="2" t="s">
        <v>20</v>
      </c>
      <c r="G191" s="2" t="s">
        <v>128</v>
      </c>
      <c r="H191" s="2" t="s">
        <v>129</v>
      </c>
      <c r="I191" s="2" t="s">
        <v>23</v>
      </c>
      <c r="J191" s="2" t="s">
        <v>24</v>
      </c>
      <c r="K191" s="3">
        <v>264000</v>
      </c>
      <c r="L191" s="4">
        <v>0.18</v>
      </c>
      <c r="M191" s="3">
        <v>47520</v>
      </c>
      <c r="N191" s="3">
        <v>311520</v>
      </c>
      <c r="O191" s="2" t="s">
        <v>25</v>
      </c>
      <c r="P191" s="2" t="s">
        <v>26</v>
      </c>
      <c r="Q191" s="2" t="s">
        <v>27</v>
      </c>
    </row>
    <row r="192" spans="1:17" x14ac:dyDescent="0.25">
      <c r="A192" s="2" t="s">
        <v>303</v>
      </c>
      <c r="B192" s="5">
        <v>46213</v>
      </c>
      <c r="C192" s="2" t="s">
        <v>294</v>
      </c>
      <c r="D192" s="2" t="s">
        <v>19</v>
      </c>
      <c r="E192" s="2">
        <v>4002</v>
      </c>
      <c r="F192" s="2" t="s">
        <v>20</v>
      </c>
      <c r="G192" s="2" t="s">
        <v>109</v>
      </c>
      <c r="H192" s="2" t="s">
        <v>110</v>
      </c>
      <c r="I192" s="2" t="s">
        <v>23</v>
      </c>
      <c r="J192" s="2" t="s">
        <v>24</v>
      </c>
      <c r="K192" s="3">
        <v>191100</v>
      </c>
      <c r="L192" s="4">
        <v>0.18</v>
      </c>
      <c r="M192" s="3">
        <v>34398</v>
      </c>
      <c r="N192" s="3">
        <v>225498</v>
      </c>
      <c r="O192" s="2" t="s">
        <v>25</v>
      </c>
      <c r="P192" s="2" t="s">
        <v>42</v>
      </c>
      <c r="Q192" s="2" t="s">
        <v>27</v>
      </c>
    </row>
    <row r="193" spans="1:17" x14ac:dyDescent="0.25">
      <c r="A193" s="2" t="s">
        <v>304</v>
      </c>
      <c r="B193" s="5">
        <v>46214</v>
      </c>
      <c r="C193" s="2" t="s">
        <v>294</v>
      </c>
      <c r="D193" s="2" t="s">
        <v>60</v>
      </c>
      <c r="E193" s="2">
        <v>5501</v>
      </c>
      <c r="F193" s="2" t="s">
        <v>61</v>
      </c>
      <c r="G193" s="2" t="s">
        <v>62</v>
      </c>
      <c r="H193" s="2" t="s">
        <v>63</v>
      </c>
      <c r="I193" s="2" t="s">
        <v>33</v>
      </c>
      <c r="J193" s="2" t="s">
        <v>34</v>
      </c>
      <c r="K193" s="3">
        <v>67680</v>
      </c>
      <c r="L193" s="4">
        <v>0.18</v>
      </c>
      <c r="M193" s="3">
        <v>12182</v>
      </c>
      <c r="N193" s="3">
        <v>79862</v>
      </c>
      <c r="O193" s="2" t="s">
        <v>48</v>
      </c>
      <c r="P193" s="2" t="s">
        <v>42</v>
      </c>
      <c r="Q193" s="2" t="s">
        <v>27</v>
      </c>
    </row>
    <row r="194" spans="1:17" x14ac:dyDescent="0.25">
      <c r="A194" s="2" t="s">
        <v>305</v>
      </c>
      <c r="B194" s="5">
        <v>46215</v>
      </c>
      <c r="C194" s="2" t="s">
        <v>294</v>
      </c>
      <c r="D194" s="2" t="s">
        <v>38</v>
      </c>
      <c r="E194" s="2">
        <v>5202</v>
      </c>
      <c r="F194" s="2" t="s">
        <v>65</v>
      </c>
      <c r="G194" s="2" t="s">
        <v>66</v>
      </c>
      <c r="H194" s="2" t="s">
        <v>67</v>
      </c>
      <c r="I194" s="2" t="s">
        <v>33</v>
      </c>
      <c r="J194" s="2" t="s">
        <v>58</v>
      </c>
      <c r="K194" s="3">
        <v>14550</v>
      </c>
      <c r="L194" s="4">
        <v>0.18</v>
      </c>
      <c r="M194" s="3">
        <v>2619</v>
      </c>
      <c r="N194" s="3">
        <v>17169</v>
      </c>
      <c r="O194" s="2" t="s">
        <v>25</v>
      </c>
      <c r="P194" s="2" t="s">
        <v>26</v>
      </c>
      <c r="Q194" s="2" t="s">
        <v>68</v>
      </c>
    </row>
    <row r="195" spans="1:17" x14ac:dyDescent="0.25">
      <c r="A195" s="2" t="s">
        <v>306</v>
      </c>
      <c r="B195" s="5">
        <v>46216</v>
      </c>
      <c r="C195" s="2" t="s">
        <v>294</v>
      </c>
      <c r="D195" s="2" t="s">
        <v>29</v>
      </c>
      <c r="E195" s="2">
        <v>5103</v>
      </c>
      <c r="F195" s="2" t="s">
        <v>70</v>
      </c>
      <c r="G195" s="2" t="s">
        <v>71</v>
      </c>
      <c r="H195" s="2" t="s">
        <v>72</v>
      </c>
      <c r="I195" s="2" t="s">
        <v>33</v>
      </c>
      <c r="J195" s="2" t="s">
        <v>24</v>
      </c>
      <c r="K195" s="3">
        <v>90000</v>
      </c>
      <c r="L195" s="4">
        <v>0.18</v>
      </c>
      <c r="M195" s="3">
        <v>16200</v>
      </c>
      <c r="N195" s="3">
        <v>106200</v>
      </c>
      <c r="O195" s="2" t="s">
        <v>25</v>
      </c>
      <c r="P195" s="2" t="s">
        <v>54</v>
      </c>
      <c r="Q195" s="2" t="s">
        <v>27</v>
      </c>
    </row>
    <row r="196" spans="1:17" x14ac:dyDescent="0.25">
      <c r="A196" s="2" t="s">
        <v>307</v>
      </c>
      <c r="B196" s="5">
        <v>46217</v>
      </c>
      <c r="C196" s="2" t="s">
        <v>294</v>
      </c>
      <c r="D196" s="2" t="s">
        <v>44</v>
      </c>
      <c r="E196" s="2">
        <v>5302</v>
      </c>
      <c r="F196" s="2" t="s">
        <v>82</v>
      </c>
      <c r="G196" s="2" t="s">
        <v>83</v>
      </c>
      <c r="H196" s="2" t="s">
        <v>84</v>
      </c>
      <c r="I196" s="2" t="s">
        <v>33</v>
      </c>
      <c r="J196" s="2" t="s">
        <v>34</v>
      </c>
      <c r="K196" s="3">
        <v>22660</v>
      </c>
      <c r="L196" s="4">
        <v>0.18</v>
      </c>
      <c r="M196" s="3">
        <v>4079</v>
      </c>
      <c r="N196" s="3">
        <v>26739</v>
      </c>
      <c r="O196" s="2" t="s">
        <v>25</v>
      </c>
      <c r="P196" s="2" t="s">
        <v>35</v>
      </c>
      <c r="Q196" s="2" t="s">
        <v>36</v>
      </c>
    </row>
    <row r="197" spans="1:17" x14ac:dyDescent="0.25">
      <c r="A197" s="2" t="s">
        <v>308</v>
      </c>
      <c r="B197" s="5">
        <v>46218</v>
      </c>
      <c r="C197" s="2" t="s">
        <v>294</v>
      </c>
      <c r="D197" s="2" t="s">
        <v>50</v>
      </c>
      <c r="E197" s="2">
        <v>4101</v>
      </c>
      <c r="F197" s="2" t="s">
        <v>74</v>
      </c>
      <c r="G197" s="2" t="s">
        <v>75</v>
      </c>
      <c r="H197" s="2" t="s">
        <v>76</v>
      </c>
      <c r="I197" s="2" t="s">
        <v>23</v>
      </c>
      <c r="J197" s="2" t="s">
        <v>24</v>
      </c>
      <c r="K197" s="3">
        <v>19080</v>
      </c>
      <c r="L197" s="4">
        <v>0</v>
      </c>
      <c r="M197" s="3">
        <v>0</v>
      </c>
      <c r="N197" s="3">
        <v>19080</v>
      </c>
      <c r="O197" s="2" t="s">
        <v>48</v>
      </c>
      <c r="P197" s="2" t="s">
        <v>42</v>
      </c>
      <c r="Q197" s="2" t="s">
        <v>68</v>
      </c>
    </row>
    <row r="198" spans="1:17" x14ac:dyDescent="0.25">
      <c r="A198" s="2" t="s">
        <v>309</v>
      </c>
      <c r="B198" s="5">
        <v>46219</v>
      </c>
      <c r="C198" s="2" t="s">
        <v>294</v>
      </c>
      <c r="D198" s="2" t="s">
        <v>50</v>
      </c>
      <c r="E198" s="2">
        <v>4102</v>
      </c>
      <c r="F198" s="2" t="s">
        <v>104</v>
      </c>
      <c r="G198" s="2" t="s">
        <v>105</v>
      </c>
      <c r="H198" s="2" t="s">
        <v>106</v>
      </c>
      <c r="I198" s="2" t="s">
        <v>23</v>
      </c>
      <c r="J198" s="2" t="s">
        <v>24</v>
      </c>
      <c r="K198" s="3">
        <v>13080</v>
      </c>
      <c r="L198" s="4">
        <v>0</v>
      </c>
      <c r="M198" s="3">
        <v>0</v>
      </c>
      <c r="N198" s="3">
        <v>13080</v>
      </c>
      <c r="O198" s="2" t="s">
        <v>25</v>
      </c>
      <c r="P198" s="2" t="s">
        <v>54</v>
      </c>
      <c r="Q198" s="2" t="s">
        <v>68</v>
      </c>
    </row>
    <row r="199" spans="1:17" x14ac:dyDescent="0.25">
      <c r="A199" s="2" t="s">
        <v>310</v>
      </c>
      <c r="B199" s="5">
        <v>46220</v>
      </c>
      <c r="C199" s="2" t="s">
        <v>294</v>
      </c>
      <c r="D199" s="2" t="s">
        <v>38</v>
      </c>
      <c r="E199" s="2">
        <v>5203</v>
      </c>
      <c r="F199" s="2" t="s">
        <v>99</v>
      </c>
      <c r="G199" s="2" t="s">
        <v>100</v>
      </c>
      <c r="H199" s="2" t="s">
        <v>101</v>
      </c>
      <c r="I199" s="2" t="s">
        <v>33</v>
      </c>
      <c r="J199" s="2" t="s">
        <v>34</v>
      </c>
      <c r="K199" s="3">
        <v>30240</v>
      </c>
      <c r="L199" s="4">
        <v>0.05</v>
      </c>
      <c r="M199" s="3">
        <v>1512</v>
      </c>
      <c r="N199" s="3">
        <v>31752</v>
      </c>
      <c r="O199" s="2" t="s">
        <v>25</v>
      </c>
      <c r="P199" s="2" t="s">
        <v>54</v>
      </c>
      <c r="Q199" s="2" t="s">
        <v>36</v>
      </c>
    </row>
    <row r="200" spans="1:17" x14ac:dyDescent="0.25">
      <c r="A200" s="2" t="s">
        <v>311</v>
      </c>
      <c r="B200" s="5">
        <v>46221</v>
      </c>
      <c r="C200" s="2" t="s">
        <v>294</v>
      </c>
      <c r="D200" s="2" t="s">
        <v>29</v>
      </c>
      <c r="E200" s="2">
        <v>5104</v>
      </c>
      <c r="F200" s="2" t="s">
        <v>112</v>
      </c>
      <c r="G200" s="2" t="s">
        <v>113</v>
      </c>
      <c r="H200" s="2" t="s">
        <v>114</v>
      </c>
      <c r="I200" s="2" t="s">
        <v>33</v>
      </c>
      <c r="J200" s="2" t="s">
        <v>24</v>
      </c>
      <c r="K200" s="3">
        <v>57200</v>
      </c>
      <c r="L200" s="4">
        <v>0.18</v>
      </c>
      <c r="M200" s="3">
        <v>10296</v>
      </c>
      <c r="N200" s="3">
        <v>67496</v>
      </c>
      <c r="O200" s="2" t="s">
        <v>25</v>
      </c>
      <c r="P200" s="2" t="s">
        <v>54</v>
      </c>
      <c r="Q200" s="2" t="s">
        <v>36</v>
      </c>
    </row>
    <row r="201" spans="1:17" x14ac:dyDescent="0.25">
      <c r="A201" s="2" t="s">
        <v>312</v>
      </c>
      <c r="B201" s="5">
        <v>46222</v>
      </c>
      <c r="C201" s="2" t="s">
        <v>294</v>
      </c>
      <c r="D201" s="2" t="s">
        <v>60</v>
      </c>
      <c r="E201" s="2">
        <v>5501</v>
      </c>
      <c r="F201" s="2" t="s">
        <v>61</v>
      </c>
      <c r="G201" s="2" t="s">
        <v>117</v>
      </c>
      <c r="H201" s="2" t="s">
        <v>118</v>
      </c>
      <c r="I201" s="2" t="s">
        <v>33</v>
      </c>
      <c r="J201" s="2" t="s">
        <v>34</v>
      </c>
      <c r="K201" s="3">
        <v>65520</v>
      </c>
      <c r="L201" s="4">
        <v>0.18</v>
      </c>
      <c r="M201" s="3">
        <v>11794</v>
      </c>
      <c r="N201" s="3">
        <v>77314</v>
      </c>
      <c r="O201" s="2" t="s">
        <v>48</v>
      </c>
      <c r="P201" s="2" t="s">
        <v>35</v>
      </c>
      <c r="Q201" s="2" t="s">
        <v>27</v>
      </c>
    </row>
    <row r="202" spans="1:17" x14ac:dyDescent="0.25">
      <c r="A202" s="2" t="s">
        <v>313</v>
      </c>
      <c r="B202" s="5">
        <v>46223</v>
      </c>
      <c r="C202" s="2" t="s">
        <v>294</v>
      </c>
      <c r="D202" s="2" t="s">
        <v>19</v>
      </c>
      <c r="E202" s="2">
        <v>4001</v>
      </c>
      <c r="F202" s="2" t="s">
        <v>20</v>
      </c>
      <c r="G202" s="2" t="s">
        <v>21</v>
      </c>
      <c r="H202" s="2" t="s">
        <v>22</v>
      </c>
      <c r="I202" s="2" t="s">
        <v>23</v>
      </c>
      <c r="J202" s="2" t="s">
        <v>24</v>
      </c>
      <c r="K202" s="3">
        <v>235000</v>
      </c>
      <c r="L202" s="4">
        <v>0.18</v>
      </c>
      <c r="M202" s="3">
        <v>42300</v>
      </c>
      <c r="N202" s="3">
        <v>277300</v>
      </c>
      <c r="O202" s="2" t="s">
        <v>25</v>
      </c>
      <c r="P202" s="2" t="s">
        <v>26</v>
      </c>
      <c r="Q202" s="2" t="s">
        <v>27</v>
      </c>
    </row>
    <row r="203" spans="1:17" x14ac:dyDescent="0.25">
      <c r="A203" s="2" t="s">
        <v>314</v>
      </c>
      <c r="B203" s="5">
        <v>46224</v>
      </c>
      <c r="C203" s="2" t="s">
        <v>294</v>
      </c>
      <c r="D203" s="2" t="s">
        <v>50</v>
      </c>
      <c r="E203" s="2">
        <v>5403</v>
      </c>
      <c r="F203" s="2" t="s">
        <v>124</v>
      </c>
      <c r="G203" s="2" t="s">
        <v>125</v>
      </c>
      <c r="H203" s="2" t="s">
        <v>126</v>
      </c>
      <c r="I203" s="2" t="s">
        <v>33</v>
      </c>
      <c r="J203" s="2" t="s">
        <v>24</v>
      </c>
      <c r="K203" s="3">
        <v>45590</v>
      </c>
      <c r="L203" s="4">
        <v>0.18</v>
      </c>
      <c r="M203" s="3">
        <v>8206</v>
      </c>
      <c r="N203" s="3">
        <v>53796</v>
      </c>
      <c r="O203" s="2" t="s">
        <v>25</v>
      </c>
      <c r="P203" s="2" t="s">
        <v>54</v>
      </c>
      <c r="Q203" s="2" t="s">
        <v>27</v>
      </c>
    </row>
    <row r="204" spans="1:17" x14ac:dyDescent="0.25">
      <c r="A204" s="2" t="s">
        <v>315</v>
      </c>
      <c r="B204" s="5">
        <v>46225</v>
      </c>
      <c r="C204" s="2" t="s">
        <v>294</v>
      </c>
      <c r="D204" s="2" t="s">
        <v>38</v>
      </c>
      <c r="E204" s="2">
        <v>5204</v>
      </c>
      <c r="F204" s="2" t="s">
        <v>131</v>
      </c>
      <c r="G204" s="2" t="s">
        <v>132</v>
      </c>
      <c r="H204" s="2" t="s">
        <v>133</v>
      </c>
      <c r="I204" s="2" t="s">
        <v>33</v>
      </c>
      <c r="J204" s="2" t="s">
        <v>58</v>
      </c>
      <c r="K204" s="3">
        <v>25000</v>
      </c>
      <c r="L204" s="4">
        <v>0.18</v>
      </c>
      <c r="M204" s="3">
        <v>4500</v>
      </c>
      <c r="N204" s="3">
        <v>29500</v>
      </c>
      <c r="O204" s="2" t="s">
        <v>25</v>
      </c>
      <c r="P204" s="2" t="s">
        <v>35</v>
      </c>
      <c r="Q204" s="2" t="s">
        <v>68</v>
      </c>
    </row>
    <row r="205" spans="1:17" x14ac:dyDescent="0.25">
      <c r="A205" s="2" t="s">
        <v>316</v>
      </c>
      <c r="B205" s="5">
        <v>46226</v>
      </c>
      <c r="C205" s="2" t="s">
        <v>294</v>
      </c>
      <c r="D205" s="2" t="s">
        <v>50</v>
      </c>
      <c r="E205" s="2">
        <v>4101</v>
      </c>
      <c r="F205" s="2" t="s">
        <v>74</v>
      </c>
      <c r="G205" s="2" t="s">
        <v>75</v>
      </c>
      <c r="H205" s="2" t="s">
        <v>76</v>
      </c>
      <c r="I205" s="2" t="s">
        <v>23</v>
      </c>
      <c r="J205" s="2" t="s">
        <v>24</v>
      </c>
      <c r="K205" s="3">
        <v>18540</v>
      </c>
      <c r="L205" s="4">
        <v>0</v>
      </c>
      <c r="M205" s="3">
        <v>0</v>
      </c>
      <c r="N205" s="3">
        <v>18540</v>
      </c>
      <c r="O205" s="2" t="s">
        <v>48</v>
      </c>
      <c r="P205" s="2" t="s">
        <v>42</v>
      </c>
      <c r="Q205" s="2" t="s">
        <v>68</v>
      </c>
    </row>
    <row r="206" spans="1:17" x14ac:dyDescent="0.25">
      <c r="A206" s="2" t="s">
        <v>317</v>
      </c>
      <c r="B206" s="5">
        <v>46227</v>
      </c>
      <c r="C206" s="2" t="s">
        <v>294</v>
      </c>
      <c r="D206" s="2" t="s">
        <v>29</v>
      </c>
      <c r="E206" s="2">
        <v>5102</v>
      </c>
      <c r="F206" s="2" t="s">
        <v>30</v>
      </c>
      <c r="G206" s="2" t="s">
        <v>31</v>
      </c>
      <c r="H206" s="2" t="s">
        <v>32</v>
      </c>
      <c r="I206" s="2" t="s">
        <v>33</v>
      </c>
      <c r="J206" s="2" t="s">
        <v>34</v>
      </c>
      <c r="K206" s="3">
        <v>47700</v>
      </c>
      <c r="L206" s="4">
        <v>0.18</v>
      </c>
      <c r="M206" s="3">
        <v>8586</v>
      </c>
      <c r="N206" s="3">
        <v>56286</v>
      </c>
      <c r="O206" s="2" t="s">
        <v>25</v>
      </c>
      <c r="P206" s="2" t="s">
        <v>35</v>
      </c>
      <c r="Q206" s="2" t="s">
        <v>36</v>
      </c>
    </row>
    <row r="207" spans="1:17" x14ac:dyDescent="0.25">
      <c r="A207" s="2" t="s">
        <v>318</v>
      </c>
      <c r="B207" s="5">
        <v>46228</v>
      </c>
      <c r="C207" s="2" t="s">
        <v>294</v>
      </c>
      <c r="D207" s="2" t="s">
        <v>19</v>
      </c>
      <c r="E207" s="2">
        <v>4001</v>
      </c>
      <c r="F207" s="2" t="s">
        <v>20</v>
      </c>
      <c r="G207" s="2" t="s">
        <v>128</v>
      </c>
      <c r="H207" s="2" t="s">
        <v>129</v>
      </c>
      <c r="I207" s="2" t="s">
        <v>23</v>
      </c>
      <c r="J207" s="2" t="s">
        <v>24</v>
      </c>
      <c r="K207" s="3">
        <v>327000</v>
      </c>
      <c r="L207" s="4">
        <v>0.18</v>
      </c>
      <c r="M207" s="3">
        <v>58860</v>
      </c>
      <c r="N207" s="3">
        <v>385860</v>
      </c>
      <c r="O207" s="2" t="s">
        <v>25</v>
      </c>
      <c r="P207" s="2" t="s">
        <v>26</v>
      </c>
      <c r="Q207" s="2" t="s">
        <v>27</v>
      </c>
    </row>
    <row r="208" spans="1:17" x14ac:dyDescent="0.25">
      <c r="A208" s="2" t="s">
        <v>319</v>
      </c>
      <c r="B208" s="5">
        <v>46229</v>
      </c>
      <c r="C208" s="2" t="s">
        <v>294</v>
      </c>
      <c r="D208" s="2" t="s">
        <v>44</v>
      </c>
      <c r="E208" s="2">
        <v>5301</v>
      </c>
      <c r="F208" s="2" t="s">
        <v>45</v>
      </c>
      <c r="G208" s="2" t="s">
        <v>46</v>
      </c>
      <c r="H208" s="2" t="s">
        <v>47</v>
      </c>
      <c r="I208" s="2" t="s">
        <v>33</v>
      </c>
      <c r="J208" s="2" t="s">
        <v>24</v>
      </c>
      <c r="K208" s="3">
        <v>33600</v>
      </c>
      <c r="L208" s="4">
        <v>0.18</v>
      </c>
      <c r="M208" s="3">
        <v>6048</v>
      </c>
      <c r="N208" s="3">
        <v>39648</v>
      </c>
      <c r="O208" s="2" t="s">
        <v>25</v>
      </c>
      <c r="P208" s="2" t="s">
        <v>26</v>
      </c>
      <c r="Q208" s="2" t="s">
        <v>36</v>
      </c>
    </row>
    <row r="209" spans="1:17" x14ac:dyDescent="0.25">
      <c r="A209" s="2" t="s">
        <v>320</v>
      </c>
      <c r="B209" s="5">
        <v>46230</v>
      </c>
      <c r="C209" s="2" t="s">
        <v>294</v>
      </c>
      <c r="D209" s="2" t="s">
        <v>50</v>
      </c>
      <c r="E209" s="2">
        <v>5401</v>
      </c>
      <c r="F209" s="2" t="s">
        <v>51</v>
      </c>
      <c r="G209" s="2" t="s">
        <v>52</v>
      </c>
      <c r="H209" s="2" t="s">
        <v>53</v>
      </c>
      <c r="I209" s="2" t="s">
        <v>33</v>
      </c>
      <c r="J209" s="2" t="s">
        <v>24</v>
      </c>
      <c r="K209" s="3">
        <v>52800</v>
      </c>
      <c r="L209" s="4">
        <v>0.18</v>
      </c>
      <c r="M209" s="3">
        <v>9504</v>
      </c>
      <c r="N209" s="3">
        <v>62304</v>
      </c>
      <c r="O209" s="2" t="s">
        <v>48</v>
      </c>
      <c r="P209" s="2" t="s">
        <v>54</v>
      </c>
      <c r="Q209" s="2" t="s">
        <v>27</v>
      </c>
    </row>
    <row r="210" spans="1:17" x14ac:dyDescent="0.25">
      <c r="A210" s="2" t="s">
        <v>321</v>
      </c>
      <c r="B210" s="5">
        <v>46231</v>
      </c>
      <c r="C210" s="2" t="s">
        <v>294</v>
      </c>
      <c r="D210" s="2" t="s">
        <v>60</v>
      </c>
      <c r="E210" s="2">
        <v>5501</v>
      </c>
      <c r="F210" s="2" t="s">
        <v>61</v>
      </c>
      <c r="G210" s="2" t="s">
        <v>62</v>
      </c>
      <c r="H210" s="2" t="s">
        <v>63</v>
      </c>
      <c r="I210" s="2" t="s">
        <v>33</v>
      </c>
      <c r="J210" s="2" t="s">
        <v>34</v>
      </c>
      <c r="K210" s="3">
        <v>65520</v>
      </c>
      <c r="L210" s="4">
        <v>0.18</v>
      </c>
      <c r="M210" s="3">
        <v>11794</v>
      </c>
      <c r="N210" s="3">
        <v>77314</v>
      </c>
      <c r="O210" s="2" t="s">
        <v>25</v>
      </c>
      <c r="P210" s="2" t="s">
        <v>42</v>
      </c>
      <c r="Q210" s="2" t="s">
        <v>27</v>
      </c>
    </row>
    <row r="211" spans="1:17" x14ac:dyDescent="0.25">
      <c r="A211" s="2" t="s">
        <v>322</v>
      </c>
      <c r="B211" s="5">
        <v>46232</v>
      </c>
      <c r="C211" s="2" t="s">
        <v>294</v>
      </c>
      <c r="D211" s="2" t="s">
        <v>38</v>
      </c>
      <c r="E211" s="2">
        <v>5202</v>
      </c>
      <c r="F211" s="2" t="s">
        <v>65</v>
      </c>
      <c r="G211" s="2" t="s">
        <v>66</v>
      </c>
      <c r="H211" s="2" t="s">
        <v>67</v>
      </c>
      <c r="I211" s="2" t="s">
        <v>33</v>
      </c>
      <c r="J211" s="2" t="s">
        <v>58</v>
      </c>
      <c r="K211" s="3">
        <v>14100</v>
      </c>
      <c r="L211" s="4">
        <v>0.18</v>
      </c>
      <c r="M211" s="3">
        <v>2538</v>
      </c>
      <c r="N211" s="3">
        <v>16638</v>
      </c>
      <c r="O211" s="2" t="s">
        <v>25</v>
      </c>
      <c r="P211" s="2" t="s">
        <v>26</v>
      </c>
      <c r="Q211" s="2" t="s">
        <v>68</v>
      </c>
    </row>
    <row r="212" spans="1:17" x14ac:dyDescent="0.25">
      <c r="A212" s="2" t="s">
        <v>323</v>
      </c>
      <c r="B212" s="5">
        <v>46233</v>
      </c>
      <c r="C212" s="2" t="s">
        <v>294</v>
      </c>
      <c r="D212" s="2" t="s">
        <v>19</v>
      </c>
      <c r="E212" s="2">
        <v>4003</v>
      </c>
      <c r="F212" s="2" t="s">
        <v>20</v>
      </c>
      <c r="G212" s="2" t="s">
        <v>92</v>
      </c>
      <c r="H212" s="2" t="s">
        <v>93</v>
      </c>
      <c r="I212" s="2" t="s">
        <v>23</v>
      </c>
      <c r="J212" s="2" t="s">
        <v>24</v>
      </c>
      <c r="K212" s="3">
        <v>92150</v>
      </c>
      <c r="L212" s="4">
        <v>0.18</v>
      </c>
      <c r="M212" s="3">
        <v>16587</v>
      </c>
      <c r="N212" s="3">
        <v>108737</v>
      </c>
      <c r="O212" s="2" t="s">
        <v>25</v>
      </c>
      <c r="P212" s="2" t="s">
        <v>35</v>
      </c>
      <c r="Q212" s="2" t="s">
        <v>36</v>
      </c>
    </row>
    <row r="213" spans="1:17" x14ac:dyDescent="0.25">
      <c r="A213" s="2" t="s">
        <v>324</v>
      </c>
      <c r="B213" s="5">
        <v>46234</v>
      </c>
      <c r="C213" s="2" t="s">
        <v>294</v>
      </c>
      <c r="D213" s="2" t="s">
        <v>44</v>
      </c>
      <c r="E213" s="2">
        <v>5302</v>
      </c>
      <c r="F213" s="2" t="s">
        <v>82</v>
      </c>
      <c r="G213" s="2" t="s">
        <v>83</v>
      </c>
      <c r="H213" s="2" t="s">
        <v>84</v>
      </c>
      <c r="I213" s="2" t="s">
        <v>33</v>
      </c>
      <c r="J213" s="2" t="s">
        <v>34</v>
      </c>
      <c r="K213" s="3">
        <v>22000</v>
      </c>
      <c r="L213" s="4">
        <v>0.18</v>
      </c>
      <c r="M213" s="3">
        <v>3960</v>
      </c>
      <c r="N213" s="3">
        <v>25960</v>
      </c>
      <c r="O213" s="2" t="s">
        <v>48</v>
      </c>
      <c r="P213" s="2" t="s">
        <v>35</v>
      </c>
      <c r="Q213" s="2" t="s">
        <v>36</v>
      </c>
    </row>
    <row r="214" spans="1:17" x14ac:dyDescent="0.25">
      <c r="A214" s="2" t="s">
        <v>325</v>
      </c>
      <c r="B214" s="5">
        <v>46235</v>
      </c>
      <c r="C214" s="2" t="s">
        <v>326</v>
      </c>
      <c r="D214" s="2" t="s">
        <v>60</v>
      </c>
      <c r="E214" s="2">
        <v>5502</v>
      </c>
      <c r="F214" s="2" t="s">
        <v>87</v>
      </c>
      <c r="G214" s="2" t="s">
        <v>88</v>
      </c>
      <c r="H214" s="2" t="s">
        <v>89</v>
      </c>
      <c r="I214" s="2" t="s">
        <v>33</v>
      </c>
      <c r="J214" s="2" t="s">
        <v>24</v>
      </c>
      <c r="K214" s="3">
        <v>154500</v>
      </c>
      <c r="L214" s="4">
        <v>0.18</v>
      </c>
      <c r="M214" s="3">
        <v>27810</v>
      </c>
      <c r="N214" s="3">
        <v>182310</v>
      </c>
      <c r="O214" s="2" t="s">
        <v>25</v>
      </c>
      <c r="P214" s="2" t="s">
        <v>54</v>
      </c>
      <c r="Q214" s="2" t="s">
        <v>27</v>
      </c>
    </row>
    <row r="215" spans="1:17" x14ac:dyDescent="0.25">
      <c r="A215" s="2" t="s">
        <v>327</v>
      </c>
      <c r="B215" s="5">
        <v>46236</v>
      </c>
      <c r="C215" s="2" t="s">
        <v>326</v>
      </c>
      <c r="D215" s="2" t="s">
        <v>50</v>
      </c>
      <c r="E215" s="2">
        <v>5402</v>
      </c>
      <c r="F215" s="2" t="s">
        <v>95</v>
      </c>
      <c r="G215" s="2" t="s">
        <v>96</v>
      </c>
      <c r="H215" s="2" t="s">
        <v>97</v>
      </c>
      <c r="I215" s="2" t="s">
        <v>33</v>
      </c>
      <c r="J215" s="2" t="s">
        <v>24</v>
      </c>
      <c r="K215" s="3">
        <v>58300</v>
      </c>
      <c r="L215" s="4">
        <v>0.18</v>
      </c>
      <c r="M215" s="3">
        <v>10494</v>
      </c>
      <c r="N215" s="3">
        <v>68794</v>
      </c>
      <c r="O215" s="2" t="s">
        <v>25</v>
      </c>
      <c r="P215" s="2" t="s">
        <v>42</v>
      </c>
      <c r="Q215" s="2" t="s">
        <v>27</v>
      </c>
    </row>
    <row r="216" spans="1:17" x14ac:dyDescent="0.25">
      <c r="A216" s="2" t="s">
        <v>328</v>
      </c>
      <c r="B216" s="5">
        <v>46237</v>
      </c>
      <c r="C216" s="2" t="s">
        <v>326</v>
      </c>
      <c r="D216" s="2" t="s">
        <v>38</v>
      </c>
      <c r="E216" s="2">
        <v>5203</v>
      </c>
      <c r="F216" s="2" t="s">
        <v>99</v>
      </c>
      <c r="G216" s="2" t="s">
        <v>100</v>
      </c>
      <c r="H216" s="2" t="s">
        <v>101</v>
      </c>
      <c r="I216" s="2" t="s">
        <v>33</v>
      </c>
      <c r="J216" s="2" t="s">
        <v>34</v>
      </c>
      <c r="K216" s="3">
        <v>29430</v>
      </c>
      <c r="L216" s="4">
        <v>0.05</v>
      </c>
      <c r="M216" s="3">
        <v>1472</v>
      </c>
      <c r="N216" s="3">
        <v>30902</v>
      </c>
      <c r="O216" s="2" t="s">
        <v>25</v>
      </c>
      <c r="P216" s="2" t="s">
        <v>54</v>
      </c>
      <c r="Q216" s="2" t="s">
        <v>36</v>
      </c>
    </row>
    <row r="217" spans="1:17" x14ac:dyDescent="0.25">
      <c r="A217" s="2" t="s">
        <v>329</v>
      </c>
      <c r="B217" s="5">
        <v>46238</v>
      </c>
      <c r="C217" s="2" t="s">
        <v>326</v>
      </c>
      <c r="D217" s="2" t="s">
        <v>19</v>
      </c>
      <c r="E217" s="2">
        <v>4003</v>
      </c>
      <c r="F217" s="2" t="s">
        <v>20</v>
      </c>
      <c r="G217" s="2" t="s">
        <v>79</v>
      </c>
      <c r="H217" s="2" t="s">
        <v>80</v>
      </c>
      <c r="I217" s="2" t="s">
        <v>23</v>
      </c>
      <c r="J217" s="2" t="s">
        <v>24</v>
      </c>
      <c r="K217" s="3">
        <v>196000</v>
      </c>
      <c r="L217" s="4">
        <v>0.18</v>
      </c>
      <c r="M217" s="3">
        <v>35280</v>
      </c>
      <c r="N217" s="3">
        <v>231280</v>
      </c>
      <c r="O217" s="2" t="s">
        <v>48</v>
      </c>
      <c r="P217" s="2" t="s">
        <v>26</v>
      </c>
      <c r="Q217" s="2" t="s">
        <v>27</v>
      </c>
    </row>
    <row r="218" spans="1:17" x14ac:dyDescent="0.25">
      <c r="A218" s="2" t="s">
        <v>330</v>
      </c>
      <c r="B218" s="5">
        <v>46239</v>
      </c>
      <c r="C218" s="2" t="s">
        <v>326</v>
      </c>
      <c r="D218" s="2" t="s">
        <v>60</v>
      </c>
      <c r="E218" s="2">
        <v>5501</v>
      </c>
      <c r="F218" s="2" t="s">
        <v>61</v>
      </c>
      <c r="G218" s="2" t="s">
        <v>117</v>
      </c>
      <c r="H218" s="2" t="s">
        <v>118</v>
      </c>
      <c r="I218" s="2" t="s">
        <v>33</v>
      </c>
      <c r="J218" s="2" t="s">
        <v>34</v>
      </c>
      <c r="K218" s="3">
        <v>63360</v>
      </c>
      <c r="L218" s="4">
        <v>0.18</v>
      </c>
      <c r="M218" s="3">
        <v>11405</v>
      </c>
      <c r="N218" s="3">
        <v>74765</v>
      </c>
      <c r="O218" s="2" t="s">
        <v>25</v>
      </c>
      <c r="P218" s="2" t="s">
        <v>35</v>
      </c>
      <c r="Q218" s="2" t="s">
        <v>27</v>
      </c>
    </row>
    <row r="219" spans="1:17" x14ac:dyDescent="0.25">
      <c r="A219" s="2" t="s">
        <v>331</v>
      </c>
      <c r="B219" s="5">
        <v>46240</v>
      </c>
      <c r="C219" s="2" t="s">
        <v>326</v>
      </c>
      <c r="D219" s="2" t="s">
        <v>19</v>
      </c>
      <c r="E219" s="2">
        <v>4002</v>
      </c>
      <c r="F219" s="2" t="s">
        <v>20</v>
      </c>
      <c r="G219" s="2" t="s">
        <v>56</v>
      </c>
      <c r="H219" s="2" t="s">
        <v>57</v>
      </c>
      <c r="I219" s="2" t="s">
        <v>23</v>
      </c>
      <c r="J219" s="2" t="s">
        <v>58</v>
      </c>
      <c r="K219" s="3">
        <v>109200</v>
      </c>
      <c r="L219" s="4">
        <v>0.18</v>
      </c>
      <c r="M219" s="3">
        <v>19656</v>
      </c>
      <c r="N219" s="3">
        <v>128856</v>
      </c>
      <c r="O219" s="2" t="s">
        <v>25</v>
      </c>
      <c r="P219" s="2" t="s">
        <v>35</v>
      </c>
      <c r="Q219" s="2" t="s">
        <v>27</v>
      </c>
    </row>
    <row r="220" spans="1:17" x14ac:dyDescent="0.25">
      <c r="A220" s="2" t="s">
        <v>332</v>
      </c>
      <c r="B220" s="5">
        <v>46241</v>
      </c>
      <c r="C220" s="2" t="s">
        <v>326</v>
      </c>
      <c r="D220" s="2" t="s">
        <v>50</v>
      </c>
      <c r="E220" s="2">
        <v>5403</v>
      </c>
      <c r="F220" s="2" t="s">
        <v>124</v>
      </c>
      <c r="G220" s="2" t="s">
        <v>125</v>
      </c>
      <c r="H220" s="2" t="s">
        <v>126</v>
      </c>
      <c r="I220" s="2" t="s">
        <v>33</v>
      </c>
      <c r="J220" s="2" t="s">
        <v>24</v>
      </c>
      <c r="K220" s="3">
        <v>44180</v>
      </c>
      <c r="L220" s="4">
        <v>0.18</v>
      </c>
      <c r="M220" s="3">
        <v>7952</v>
      </c>
      <c r="N220" s="3">
        <v>52132</v>
      </c>
      <c r="O220" s="2" t="s">
        <v>25</v>
      </c>
      <c r="P220" s="2" t="s">
        <v>54</v>
      </c>
      <c r="Q220" s="2" t="s">
        <v>27</v>
      </c>
    </row>
    <row r="221" spans="1:17" x14ac:dyDescent="0.25">
      <c r="A221" s="2" t="s">
        <v>333</v>
      </c>
      <c r="B221" s="5">
        <v>46242</v>
      </c>
      <c r="C221" s="2" t="s">
        <v>326</v>
      </c>
      <c r="D221" s="2" t="s">
        <v>38</v>
      </c>
      <c r="E221" s="2">
        <v>5204</v>
      </c>
      <c r="F221" s="2" t="s">
        <v>131</v>
      </c>
      <c r="G221" s="2" t="s">
        <v>132</v>
      </c>
      <c r="H221" s="2" t="s">
        <v>133</v>
      </c>
      <c r="I221" s="2" t="s">
        <v>33</v>
      </c>
      <c r="J221" s="2" t="s">
        <v>58</v>
      </c>
      <c r="K221" s="3">
        <v>24250</v>
      </c>
      <c r="L221" s="4">
        <v>0.18</v>
      </c>
      <c r="M221" s="3">
        <v>4365</v>
      </c>
      <c r="N221" s="3">
        <v>28615</v>
      </c>
      <c r="O221" s="2" t="s">
        <v>48</v>
      </c>
      <c r="P221" s="2" t="s">
        <v>35</v>
      </c>
      <c r="Q221" s="2" t="s">
        <v>68</v>
      </c>
    </row>
    <row r="222" spans="1:17" x14ac:dyDescent="0.25">
      <c r="A222" s="2" t="s">
        <v>334</v>
      </c>
      <c r="B222" s="5">
        <v>46243</v>
      </c>
      <c r="C222" s="2" t="s">
        <v>326</v>
      </c>
      <c r="D222" s="2" t="s">
        <v>50</v>
      </c>
      <c r="E222" s="2">
        <v>4102</v>
      </c>
      <c r="F222" s="2" t="s">
        <v>104</v>
      </c>
      <c r="G222" s="2" t="s">
        <v>105</v>
      </c>
      <c r="H222" s="2" t="s">
        <v>106</v>
      </c>
      <c r="I222" s="2" t="s">
        <v>23</v>
      </c>
      <c r="J222" s="2" t="s">
        <v>24</v>
      </c>
      <c r="K222" s="3">
        <v>12000</v>
      </c>
      <c r="L222" s="4">
        <v>0</v>
      </c>
      <c r="M222" s="3">
        <v>0</v>
      </c>
      <c r="N222" s="3">
        <v>12000</v>
      </c>
      <c r="O222" s="2" t="s">
        <v>25</v>
      </c>
      <c r="P222" s="2" t="s">
        <v>54</v>
      </c>
      <c r="Q222" s="2" t="s">
        <v>68</v>
      </c>
    </row>
    <row r="223" spans="1:17" x14ac:dyDescent="0.25">
      <c r="A223" s="2" t="s">
        <v>335</v>
      </c>
      <c r="B223" s="5">
        <v>46244</v>
      </c>
      <c r="C223" s="2" t="s">
        <v>326</v>
      </c>
      <c r="D223" s="2" t="s">
        <v>29</v>
      </c>
      <c r="E223" s="2">
        <v>5102</v>
      </c>
      <c r="F223" s="2" t="s">
        <v>30</v>
      </c>
      <c r="G223" s="2" t="s">
        <v>31</v>
      </c>
      <c r="H223" s="2" t="s">
        <v>32</v>
      </c>
      <c r="I223" s="2" t="s">
        <v>33</v>
      </c>
      <c r="J223" s="2" t="s">
        <v>34</v>
      </c>
      <c r="K223" s="3">
        <v>46350</v>
      </c>
      <c r="L223" s="4">
        <v>0.18</v>
      </c>
      <c r="M223" s="3">
        <v>8343</v>
      </c>
      <c r="N223" s="3">
        <v>54693</v>
      </c>
      <c r="O223" s="2" t="s">
        <v>25</v>
      </c>
      <c r="P223" s="2" t="s">
        <v>35</v>
      </c>
      <c r="Q223" s="2" t="s">
        <v>36</v>
      </c>
    </row>
    <row r="224" spans="1:17" x14ac:dyDescent="0.25">
      <c r="A224" s="2" t="s">
        <v>336</v>
      </c>
      <c r="B224" s="5">
        <v>46245</v>
      </c>
      <c r="C224" s="2" t="s">
        <v>326</v>
      </c>
      <c r="D224" s="2" t="s">
        <v>38</v>
      </c>
      <c r="E224" s="2">
        <v>5201</v>
      </c>
      <c r="F224" s="2" t="s">
        <v>39</v>
      </c>
      <c r="G224" s="2" t="s">
        <v>40</v>
      </c>
      <c r="H224" s="2" t="s">
        <v>41</v>
      </c>
      <c r="I224" s="2" t="s">
        <v>33</v>
      </c>
      <c r="J224" s="2" t="s">
        <v>24</v>
      </c>
      <c r="K224" s="3">
        <v>84800</v>
      </c>
      <c r="L224" s="4">
        <v>0.18</v>
      </c>
      <c r="M224" s="3">
        <v>15264</v>
      </c>
      <c r="N224" s="3">
        <v>100064</v>
      </c>
      <c r="O224" s="2" t="s">
        <v>25</v>
      </c>
      <c r="P224" s="2" t="s">
        <v>42</v>
      </c>
      <c r="Q224" s="2" t="s">
        <v>27</v>
      </c>
    </row>
    <row r="225" spans="1:17" x14ac:dyDescent="0.25">
      <c r="A225" s="2" t="s">
        <v>337</v>
      </c>
      <c r="B225" s="5">
        <v>46246</v>
      </c>
      <c r="C225" s="2" t="s">
        <v>326</v>
      </c>
      <c r="D225" s="2" t="s">
        <v>44</v>
      </c>
      <c r="E225" s="2">
        <v>5301</v>
      </c>
      <c r="F225" s="2" t="s">
        <v>45</v>
      </c>
      <c r="G225" s="2" t="s">
        <v>46</v>
      </c>
      <c r="H225" s="2" t="s">
        <v>47</v>
      </c>
      <c r="I225" s="2" t="s">
        <v>33</v>
      </c>
      <c r="J225" s="2" t="s">
        <v>24</v>
      </c>
      <c r="K225" s="3">
        <v>32700</v>
      </c>
      <c r="L225" s="4">
        <v>0.18</v>
      </c>
      <c r="M225" s="3">
        <v>5886</v>
      </c>
      <c r="N225" s="3">
        <v>38586</v>
      </c>
      <c r="O225" s="2" t="s">
        <v>48</v>
      </c>
      <c r="P225" s="2" t="s">
        <v>26</v>
      </c>
      <c r="Q225" s="2" t="s">
        <v>36</v>
      </c>
    </row>
    <row r="226" spans="1:17" x14ac:dyDescent="0.25">
      <c r="A226" s="2" t="s">
        <v>338</v>
      </c>
      <c r="B226" s="5">
        <v>46247</v>
      </c>
      <c r="C226" s="2" t="s">
        <v>326</v>
      </c>
      <c r="D226" s="2" t="s">
        <v>19</v>
      </c>
      <c r="E226" s="2">
        <v>4001</v>
      </c>
      <c r="F226" s="2" t="s">
        <v>20</v>
      </c>
      <c r="G226" s="2" t="s">
        <v>21</v>
      </c>
      <c r="H226" s="2" t="s">
        <v>22</v>
      </c>
      <c r="I226" s="2" t="s">
        <v>23</v>
      </c>
      <c r="J226" s="2" t="s">
        <v>24</v>
      </c>
      <c r="K226" s="3">
        <v>280000</v>
      </c>
      <c r="L226" s="4">
        <v>0.18</v>
      </c>
      <c r="M226" s="3">
        <v>50400</v>
      </c>
      <c r="N226" s="3">
        <v>330400</v>
      </c>
      <c r="O226" s="2" t="s">
        <v>25</v>
      </c>
      <c r="P226" s="2" t="s">
        <v>26</v>
      </c>
      <c r="Q226" s="2" t="s">
        <v>27</v>
      </c>
    </row>
    <row r="227" spans="1:17" x14ac:dyDescent="0.25">
      <c r="A227" s="2" t="s">
        <v>339</v>
      </c>
      <c r="B227" s="5">
        <v>46248</v>
      </c>
      <c r="C227" s="2" t="s">
        <v>326</v>
      </c>
      <c r="D227" s="2" t="s">
        <v>19</v>
      </c>
      <c r="E227" s="2">
        <v>4002</v>
      </c>
      <c r="F227" s="2" t="s">
        <v>20</v>
      </c>
      <c r="G227" s="2" t="s">
        <v>56</v>
      </c>
      <c r="H227" s="2" t="s">
        <v>57</v>
      </c>
      <c r="I227" s="2" t="s">
        <v>23</v>
      </c>
      <c r="J227" s="2" t="s">
        <v>58</v>
      </c>
      <c r="K227" s="3">
        <v>105600</v>
      </c>
      <c r="L227" s="4">
        <v>0.18</v>
      </c>
      <c r="M227" s="3">
        <v>19008</v>
      </c>
      <c r="N227" s="3">
        <v>124608</v>
      </c>
      <c r="O227" s="2" t="s">
        <v>25</v>
      </c>
      <c r="P227" s="2" t="s">
        <v>35</v>
      </c>
      <c r="Q227" s="2" t="s">
        <v>27</v>
      </c>
    </row>
    <row r="228" spans="1:17" x14ac:dyDescent="0.25">
      <c r="A228" s="2" t="s">
        <v>340</v>
      </c>
      <c r="B228" s="5">
        <v>46249</v>
      </c>
      <c r="C228" s="2" t="s">
        <v>326</v>
      </c>
      <c r="D228" s="2" t="s">
        <v>38</v>
      </c>
      <c r="E228" s="2">
        <v>5202</v>
      </c>
      <c r="F228" s="2" t="s">
        <v>65</v>
      </c>
      <c r="G228" s="2" t="s">
        <v>66</v>
      </c>
      <c r="H228" s="2" t="s">
        <v>67</v>
      </c>
      <c r="I228" s="2" t="s">
        <v>33</v>
      </c>
      <c r="J228" s="2" t="s">
        <v>58</v>
      </c>
      <c r="K228" s="3">
        <v>13650</v>
      </c>
      <c r="L228" s="4">
        <v>0.18</v>
      </c>
      <c r="M228" s="3">
        <v>2457</v>
      </c>
      <c r="N228" s="3">
        <v>16107</v>
      </c>
      <c r="O228" s="2" t="s">
        <v>25</v>
      </c>
      <c r="P228" s="2" t="s">
        <v>26</v>
      </c>
      <c r="Q228" s="2" t="s">
        <v>68</v>
      </c>
    </row>
    <row r="229" spans="1:17" x14ac:dyDescent="0.25">
      <c r="A229" s="2" t="s">
        <v>341</v>
      </c>
      <c r="B229" s="5">
        <v>46250</v>
      </c>
      <c r="C229" s="2" t="s">
        <v>326</v>
      </c>
      <c r="D229" s="2" t="s">
        <v>29</v>
      </c>
      <c r="E229" s="2">
        <v>5103</v>
      </c>
      <c r="F229" s="2" t="s">
        <v>70</v>
      </c>
      <c r="G229" s="2" t="s">
        <v>71</v>
      </c>
      <c r="H229" s="2" t="s">
        <v>72</v>
      </c>
      <c r="I229" s="2" t="s">
        <v>33</v>
      </c>
      <c r="J229" s="2" t="s">
        <v>24</v>
      </c>
      <c r="K229" s="3">
        <v>84600</v>
      </c>
      <c r="L229" s="4">
        <v>0.18</v>
      </c>
      <c r="M229" s="3">
        <v>15228</v>
      </c>
      <c r="N229" s="3">
        <v>99828</v>
      </c>
      <c r="O229" s="2" t="s">
        <v>48</v>
      </c>
      <c r="P229" s="2" t="s">
        <v>54</v>
      </c>
      <c r="Q229" s="2" t="s">
        <v>27</v>
      </c>
    </row>
    <row r="230" spans="1:17" x14ac:dyDescent="0.25">
      <c r="A230" s="2" t="s">
        <v>342</v>
      </c>
      <c r="B230" s="5">
        <v>46251</v>
      </c>
      <c r="C230" s="2" t="s">
        <v>326</v>
      </c>
      <c r="D230" s="2" t="s">
        <v>44</v>
      </c>
      <c r="E230" s="2">
        <v>5302</v>
      </c>
      <c r="F230" s="2" t="s">
        <v>82</v>
      </c>
      <c r="G230" s="2" t="s">
        <v>83</v>
      </c>
      <c r="H230" s="2" t="s">
        <v>84</v>
      </c>
      <c r="I230" s="2" t="s">
        <v>33</v>
      </c>
      <c r="J230" s="2" t="s">
        <v>34</v>
      </c>
      <c r="K230" s="3">
        <v>21340</v>
      </c>
      <c r="L230" s="4">
        <v>0.18</v>
      </c>
      <c r="M230" s="3">
        <v>3841</v>
      </c>
      <c r="N230" s="3">
        <v>25181</v>
      </c>
      <c r="O230" s="2" t="s">
        <v>25</v>
      </c>
      <c r="P230" s="2" t="s">
        <v>35</v>
      </c>
      <c r="Q230" s="2" t="s">
        <v>36</v>
      </c>
    </row>
    <row r="231" spans="1:17" x14ac:dyDescent="0.25">
      <c r="A231" s="2" t="s">
        <v>343</v>
      </c>
      <c r="B231" s="5">
        <v>46252</v>
      </c>
      <c r="C231" s="2" t="s">
        <v>326</v>
      </c>
      <c r="D231" s="2" t="s">
        <v>60</v>
      </c>
      <c r="E231" s="2">
        <v>5502</v>
      </c>
      <c r="F231" s="2" t="s">
        <v>87</v>
      </c>
      <c r="G231" s="2" t="s">
        <v>88</v>
      </c>
      <c r="H231" s="2" t="s">
        <v>89</v>
      </c>
      <c r="I231" s="2" t="s">
        <v>33</v>
      </c>
      <c r="J231" s="2" t="s">
        <v>24</v>
      </c>
      <c r="K231" s="3">
        <v>150000</v>
      </c>
      <c r="L231" s="4">
        <v>0.18</v>
      </c>
      <c r="M231" s="3">
        <v>27000</v>
      </c>
      <c r="N231" s="3">
        <v>177000</v>
      </c>
      <c r="O231" s="2" t="s">
        <v>25</v>
      </c>
      <c r="P231" s="2" t="s">
        <v>54</v>
      </c>
      <c r="Q231" s="2" t="s">
        <v>27</v>
      </c>
    </row>
    <row r="232" spans="1:17" x14ac:dyDescent="0.25">
      <c r="A232" s="2" t="s">
        <v>344</v>
      </c>
      <c r="B232" s="5">
        <v>46253</v>
      </c>
      <c r="C232" s="2" t="s">
        <v>326</v>
      </c>
      <c r="D232" s="2" t="s">
        <v>19</v>
      </c>
      <c r="E232" s="2">
        <v>4002</v>
      </c>
      <c r="F232" s="2" t="s">
        <v>20</v>
      </c>
      <c r="G232" s="2" t="s">
        <v>109</v>
      </c>
      <c r="H232" s="2" t="s">
        <v>110</v>
      </c>
      <c r="I232" s="2" t="s">
        <v>23</v>
      </c>
      <c r="J232" s="2" t="s">
        <v>24</v>
      </c>
      <c r="K232" s="3">
        <v>216300</v>
      </c>
      <c r="L232" s="4">
        <v>0.18</v>
      </c>
      <c r="M232" s="3">
        <v>38934</v>
      </c>
      <c r="N232" s="3">
        <v>255234</v>
      </c>
      <c r="O232" s="2" t="s">
        <v>25</v>
      </c>
      <c r="P232" s="2" t="s">
        <v>42</v>
      </c>
      <c r="Q232" s="2" t="s">
        <v>27</v>
      </c>
    </row>
    <row r="233" spans="1:17" x14ac:dyDescent="0.25">
      <c r="A233" s="2" t="s">
        <v>345</v>
      </c>
      <c r="B233" s="5">
        <v>46254</v>
      </c>
      <c r="C233" s="2" t="s">
        <v>326</v>
      </c>
      <c r="D233" s="2" t="s">
        <v>19</v>
      </c>
      <c r="E233" s="2">
        <v>4003</v>
      </c>
      <c r="F233" s="2" t="s">
        <v>20</v>
      </c>
      <c r="G233" s="2" t="s">
        <v>79</v>
      </c>
      <c r="H233" s="2" t="s">
        <v>80</v>
      </c>
      <c r="I233" s="2" t="s">
        <v>23</v>
      </c>
      <c r="J233" s="2" t="s">
        <v>24</v>
      </c>
      <c r="K233" s="3">
        <v>185500</v>
      </c>
      <c r="L233" s="4">
        <v>0.18</v>
      </c>
      <c r="M233" s="3">
        <v>33390</v>
      </c>
      <c r="N233" s="3">
        <v>218890</v>
      </c>
      <c r="O233" s="2" t="s">
        <v>48</v>
      </c>
      <c r="P233" s="2" t="s">
        <v>26</v>
      </c>
      <c r="Q233" s="2" t="s">
        <v>27</v>
      </c>
    </row>
    <row r="234" spans="1:17" x14ac:dyDescent="0.25">
      <c r="A234" s="2" t="s">
        <v>346</v>
      </c>
      <c r="B234" s="5">
        <v>46255</v>
      </c>
      <c r="C234" s="2" t="s">
        <v>326</v>
      </c>
      <c r="D234" s="2" t="s">
        <v>29</v>
      </c>
      <c r="E234" s="2">
        <v>5104</v>
      </c>
      <c r="F234" s="2" t="s">
        <v>112</v>
      </c>
      <c r="G234" s="2" t="s">
        <v>113</v>
      </c>
      <c r="H234" s="2" t="s">
        <v>114</v>
      </c>
      <c r="I234" s="2" t="s">
        <v>33</v>
      </c>
      <c r="J234" s="2" t="s">
        <v>24</v>
      </c>
      <c r="K234" s="3">
        <v>70850</v>
      </c>
      <c r="L234" s="4">
        <v>0.18</v>
      </c>
      <c r="M234" s="3">
        <v>12753</v>
      </c>
      <c r="N234" s="3">
        <v>83603</v>
      </c>
      <c r="O234" s="2" t="s">
        <v>25</v>
      </c>
      <c r="P234" s="2" t="s">
        <v>54</v>
      </c>
      <c r="Q234" s="2" t="s">
        <v>36</v>
      </c>
    </row>
    <row r="235" spans="1:17" x14ac:dyDescent="0.25">
      <c r="A235" s="2" t="s">
        <v>347</v>
      </c>
      <c r="B235" s="5">
        <v>46256</v>
      </c>
      <c r="C235" s="2" t="s">
        <v>326</v>
      </c>
      <c r="D235" s="2" t="s">
        <v>60</v>
      </c>
      <c r="E235" s="2">
        <v>5501</v>
      </c>
      <c r="F235" s="2" t="s">
        <v>61</v>
      </c>
      <c r="G235" s="2" t="s">
        <v>117</v>
      </c>
      <c r="H235" s="2" t="s">
        <v>118</v>
      </c>
      <c r="I235" s="2" t="s">
        <v>33</v>
      </c>
      <c r="J235" s="2" t="s">
        <v>34</v>
      </c>
      <c r="K235" s="3">
        <v>80640</v>
      </c>
      <c r="L235" s="4">
        <v>0.18</v>
      </c>
      <c r="M235" s="3">
        <v>14515</v>
      </c>
      <c r="N235" s="3">
        <v>95155</v>
      </c>
      <c r="O235" s="2" t="s">
        <v>25</v>
      </c>
      <c r="P235" s="2" t="s">
        <v>35</v>
      </c>
      <c r="Q235" s="2" t="s">
        <v>27</v>
      </c>
    </row>
    <row r="236" spans="1:17" x14ac:dyDescent="0.25">
      <c r="A236" s="2" t="s">
        <v>348</v>
      </c>
      <c r="B236" s="5">
        <v>46257</v>
      </c>
      <c r="C236" s="2" t="s">
        <v>326</v>
      </c>
      <c r="D236" s="2" t="s">
        <v>44</v>
      </c>
      <c r="E236" s="2">
        <v>5303</v>
      </c>
      <c r="F236" s="2" t="s">
        <v>120</v>
      </c>
      <c r="G236" s="2" t="s">
        <v>121</v>
      </c>
      <c r="H236" s="2" t="s">
        <v>122</v>
      </c>
      <c r="I236" s="2" t="s">
        <v>33</v>
      </c>
      <c r="J236" s="2" t="s">
        <v>34</v>
      </c>
      <c r="K236" s="3">
        <v>35200</v>
      </c>
      <c r="L236" s="4">
        <v>0.18</v>
      </c>
      <c r="M236" s="3">
        <v>6336</v>
      </c>
      <c r="N236" s="3">
        <v>41536</v>
      </c>
      <c r="O236" s="2" t="s">
        <v>25</v>
      </c>
      <c r="P236" s="2" t="s">
        <v>42</v>
      </c>
      <c r="Q236" s="2" t="s">
        <v>36</v>
      </c>
    </row>
    <row r="237" spans="1:17" x14ac:dyDescent="0.25">
      <c r="A237" s="2" t="s">
        <v>349</v>
      </c>
      <c r="B237" s="5">
        <v>46258</v>
      </c>
      <c r="C237" s="2" t="s">
        <v>326</v>
      </c>
      <c r="D237" s="2" t="s">
        <v>50</v>
      </c>
      <c r="E237" s="2">
        <v>4101</v>
      </c>
      <c r="F237" s="2" t="s">
        <v>74</v>
      </c>
      <c r="G237" s="2" t="s">
        <v>75</v>
      </c>
      <c r="H237" s="2" t="s">
        <v>76</v>
      </c>
      <c r="I237" s="2" t="s">
        <v>23</v>
      </c>
      <c r="J237" s="2" t="s">
        <v>24</v>
      </c>
      <c r="K237" s="3">
        <v>16380</v>
      </c>
      <c r="L237" s="4">
        <v>0</v>
      </c>
      <c r="M237" s="3">
        <v>0</v>
      </c>
      <c r="N237" s="3">
        <v>16380</v>
      </c>
      <c r="O237" s="2" t="s">
        <v>48</v>
      </c>
      <c r="P237" s="2" t="s">
        <v>42</v>
      </c>
      <c r="Q237" s="2" t="s">
        <v>68</v>
      </c>
    </row>
    <row r="238" spans="1:17" x14ac:dyDescent="0.25">
      <c r="A238" s="2" t="s">
        <v>350</v>
      </c>
      <c r="B238" s="5">
        <v>46259</v>
      </c>
      <c r="C238" s="2" t="s">
        <v>326</v>
      </c>
      <c r="D238" s="2" t="s">
        <v>38</v>
      </c>
      <c r="E238" s="2">
        <v>5204</v>
      </c>
      <c r="F238" s="2" t="s">
        <v>131</v>
      </c>
      <c r="G238" s="2" t="s">
        <v>132</v>
      </c>
      <c r="H238" s="2" t="s">
        <v>133</v>
      </c>
      <c r="I238" s="2" t="s">
        <v>33</v>
      </c>
      <c r="J238" s="2" t="s">
        <v>58</v>
      </c>
      <c r="K238" s="3">
        <v>23500</v>
      </c>
      <c r="L238" s="4">
        <v>0.18</v>
      </c>
      <c r="M238" s="3">
        <v>4230</v>
      </c>
      <c r="N238" s="3">
        <v>27730</v>
      </c>
      <c r="O238" s="2" t="s">
        <v>25</v>
      </c>
      <c r="P238" s="2" t="s">
        <v>35</v>
      </c>
      <c r="Q238" s="2" t="s">
        <v>68</v>
      </c>
    </row>
    <row r="239" spans="1:17" x14ac:dyDescent="0.25">
      <c r="A239" s="2" t="s">
        <v>351</v>
      </c>
      <c r="B239" s="5">
        <v>46260</v>
      </c>
      <c r="C239" s="2" t="s">
        <v>326</v>
      </c>
      <c r="D239" s="2" t="s">
        <v>29</v>
      </c>
      <c r="E239" s="2">
        <v>5105</v>
      </c>
      <c r="F239" s="2" t="s">
        <v>135</v>
      </c>
      <c r="G239" s="2" t="s">
        <v>136</v>
      </c>
      <c r="H239" s="2" t="s">
        <v>137</v>
      </c>
      <c r="I239" s="2" t="s">
        <v>33</v>
      </c>
      <c r="J239" s="2" t="s">
        <v>24</v>
      </c>
      <c r="K239" s="3">
        <v>48500</v>
      </c>
      <c r="L239" s="4">
        <v>0.18</v>
      </c>
      <c r="M239" s="3">
        <v>8730</v>
      </c>
      <c r="N239" s="3">
        <v>57230</v>
      </c>
      <c r="O239" s="2" t="s">
        <v>25</v>
      </c>
      <c r="P239" s="2" t="s">
        <v>42</v>
      </c>
      <c r="Q239" s="2" t="s">
        <v>36</v>
      </c>
    </row>
    <row r="240" spans="1:17" x14ac:dyDescent="0.25">
      <c r="A240" s="2" t="s">
        <v>352</v>
      </c>
      <c r="B240" s="5">
        <v>46261</v>
      </c>
      <c r="C240" s="2" t="s">
        <v>326</v>
      </c>
      <c r="D240" s="2" t="s">
        <v>19</v>
      </c>
      <c r="E240" s="2">
        <v>4002</v>
      </c>
      <c r="F240" s="2" t="s">
        <v>20</v>
      </c>
      <c r="G240" s="2" t="s">
        <v>109</v>
      </c>
      <c r="H240" s="2" t="s">
        <v>110</v>
      </c>
      <c r="I240" s="2" t="s">
        <v>23</v>
      </c>
      <c r="J240" s="2" t="s">
        <v>24</v>
      </c>
      <c r="K240" s="3">
        <v>210000</v>
      </c>
      <c r="L240" s="4">
        <v>0.18</v>
      </c>
      <c r="M240" s="3">
        <v>37800</v>
      </c>
      <c r="N240" s="3">
        <v>247800</v>
      </c>
      <c r="O240" s="2" t="s">
        <v>25</v>
      </c>
      <c r="P240" s="2" t="s">
        <v>42</v>
      </c>
      <c r="Q240" s="2" t="s">
        <v>27</v>
      </c>
    </row>
    <row r="241" spans="1:17" x14ac:dyDescent="0.25">
      <c r="A241" s="2" t="s">
        <v>353</v>
      </c>
      <c r="B241" s="5">
        <v>46262</v>
      </c>
      <c r="C241" s="2" t="s">
        <v>326</v>
      </c>
      <c r="D241" s="2" t="s">
        <v>38</v>
      </c>
      <c r="E241" s="2">
        <v>5201</v>
      </c>
      <c r="F241" s="2" t="s">
        <v>39</v>
      </c>
      <c r="G241" s="2" t="s">
        <v>40</v>
      </c>
      <c r="H241" s="2" t="s">
        <v>41</v>
      </c>
      <c r="I241" s="2" t="s">
        <v>33</v>
      </c>
      <c r="J241" s="2" t="s">
        <v>24</v>
      </c>
      <c r="K241" s="3">
        <v>82400</v>
      </c>
      <c r="L241" s="4">
        <v>0.18</v>
      </c>
      <c r="M241" s="3">
        <v>14832</v>
      </c>
      <c r="N241" s="3">
        <v>97232</v>
      </c>
      <c r="O241" s="2" t="s">
        <v>48</v>
      </c>
      <c r="P241" s="2" t="s">
        <v>42</v>
      </c>
      <c r="Q241" s="2" t="s">
        <v>27</v>
      </c>
    </row>
    <row r="242" spans="1:17" x14ac:dyDescent="0.25">
      <c r="A242" s="2" t="s">
        <v>354</v>
      </c>
      <c r="B242" s="5">
        <v>46263</v>
      </c>
      <c r="C242" s="2" t="s">
        <v>326</v>
      </c>
      <c r="D242" s="2" t="s">
        <v>19</v>
      </c>
      <c r="E242" s="2">
        <v>4001</v>
      </c>
      <c r="F242" s="2" t="s">
        <v>20</v>
      </c>
      <c r="G242" s="2" t="s">
        <v>21</v>
      </c>
      <c r="H242" s="2" t="s">
        <v>22</v>
      </c>
      <c r="I242" s="2" t="s">
        <v>23</v>
      </c>
      <c r="J242" s="2" t="s">
        <v>24</v>
      </c>
      <c r="K242" s="3">
        <v>265000</v>
      </c>
      <c r="L242" s="4">
        <v>0.18</v>
      </c>
      <c r="M242" s="3">
        <v>47700</v>
      </c>
      <c r="N242" s="3">
        <v>312700</v>
      </c>
      <c r="O242" s="2" t="s">
        <v>25</v>
      </c>
      <c r="P242" s="2" t="s">
        <v>26</v>
      </c>
      <c r="Q242" s="2" t="s">
        <v>27</v>
      </c>
    </row>
    <row r="243" spans="1:17" x14ac:dyDescent="0.25">
      <c r="A243" s="2" t="s">
        <v>355</v>
      </c>
      <c r="B243" s="5">
        <v>46264</v>
      </c>
      <c r="C243" s="2" t="s">
        <v>326</v>
      </c>
      <c r="D243" s="2" t="s">
        <v>50</v>
      </c>
      <c r="E243" s="2">
        <v>5401</v>
      </c>
      <c r="F243" s="2" t="s">
        <v>51</v>
      </c>
      <c r="G243" s="2" t="s">
        <v>52</v>
      </c>
      <c r="H243" s="2" t="s">
        <v>53</v>
      </c>
      <c r="I243" s="2" t="s">
        <v>33</v>
      </c>
      <c r="J243" s="2" t="s">
        <v>24</v>
      </c>
      <c r="K243" s="3">
        <v>65400</v>
      </c>
      <c r="L243" s="4">
        <v>0.18</v>
      </c>
      <c r="M243" s="3">
        <v>11772</v>
      </c>
      <c r="N243" s="3">
        <v>77172</v>
      </c>
      <c r="O243" s="2" t="s">
        <v>25</v>
      </c>
      <c r="P243" s="2" t="s">
        <v>54</v>
      </c>
      <c r="Q243" s="2" t="s">
        <v>27</v>
      </c>
    </row>
    <row r="244" spans="1:17" x14ac:dyDescent="0.25">
      <c r="A244" s="2" t="s">
        <v>356</v>
      </c>
      <c r="B244" s="5">
        <v>46265</v>
      </c>
      <c r="C244" s="2" t="s">
        <v>326</v>
      </c>
      <c r="D244" s="2" t="s">
        <v>60</v>
      </c>
      <c r="E244" s="2">
        <v>5501</v>
      </c>
      <c r="F244" s="2" t="s">
        <v>61</v>
      </c>
      <c r="G244" s="2" t="s">
        <v>62</v>
      </c>
      <c r="H244" s="2" t="s">
        <v>63</v>
      </c>
      <c r="I244" s="2" t="s">
        <v>33</v>
      </c>
      <c r="J244" s="2" t="s">
        <v>34</v>
      </c>
      <c r="K244" s="3">
        <v>80640</v>
      </c>
      <c r="L244" s="4">
        <v>0.18</v>
      </c>
      <c r="M244" s="3">
        <v>14515</v>
      </c>
      <c r="N244" s="3">
        <v>95155</v>
      </c>
      <c r="O244" s="2" t="s">
        <v>25</v>
      </c>
      <c r="P244" s="2" t="s">
        <v>42</v>
      </c>
      <c r="Q244" s="2" t="s">
        <v>27</v>
      </c>
    </row>
    <row r="245" spans="1:17" x14ac:dyDescent="0.25">
      <c r="A245" s="2" t="s">
        <v>357</v>
      </c>
      <c r="B245" s="5">
        <v>46266</v>
      </c>
      <c r="C245" s="2" t="s">
        <v>358</v>
      </c>
      <c r="D245" s="2" t="s">
        <v>38</v>
      </c>
      <c r="E245" s="2">
        <v>5202</v>
      </c>
      <c r="F245" s="2" t="s">
        <v>65</v>
      </c>
      <c r="G245" s="2" t="s">
        <v>66</v>
      </c>
      <c r="H245" s="2" t="s">
        <v>67</v>
      </c>
      <c r="I245" s="2" t="s">
        <v>33</v>
      </c>
      <c r="J245" s="2" t="s">
        <v>58</v>
      </c>
      <c r="K245" s="3">
        <v>13200</v>
      </c>
      <c r="L245" s="4">
        <v>0.18</v>
      </c>
      <c r="M245" s="3">
        <v>2376</v>
      </c>
      <c r="N245" s="3">
        <v>15576</v>
      </c>
      <c r="O245" s="2" t="s">
        <v>48</v>
      </c>
      <c r="P245" s="2" t="s">
        <v>26</v>
      </c>
      <c r="Q245" s="2" t="s">
        <v>68</v>
      </c>
    </row>
    <row r="246" spans="1:17" x14ac:dyDescent="0.25">
      <c r="A246" s="2" t="s">
        <v>359</v>
      </c>
      <c r="B246" s="5">
        <v>46267</v>
      </c>
      <c r="C246" s="2" t="s">
        <v>358</v>
      </c>
      <c r="D246" s="2" t="s">
        <v>29</v>
      </c>
      <c r="E246" s="2">
        <v>5103</v>
      </c>
      <c r="F246" s="2" t="s">
        <v>70</v>
      </c>
      <c r="G246" s="2" t="s">
        <v>71</v>
      </c>
      <c r="H246" s="2" t="s">
        <v>72</v>
      </c>
      <c r="I246" s="2" t="s">
        <v>33</v>
      </c>
      <c r="J246" s="2" t="s">
        <v>24</v>
      </c>
      <c r="K246" s="3">
        <v>81900</v>
      </c>
      <c r="L246" s="4">
        <v>0.18</v>
      </c>
      <c r="M246" s="3">
        <v>14742</v>
      </c>
      <c r="N246" s="3">
        <v>96642</v>
      </c>
      <c r="O246" s="2" t="s">
        <v>25</v>
      </c>
      <c r="P246" s="2" t="s">
        <v>54</v>
      </c>
      <c r="Q246" s="2" t="s">
        <v>27</v>
      </c>
    </row>
    <row r="247" spans="1:17" x14ac:dyDescent="0.25">
      <c r="A247" s="2" t="s">
        <v>360</v>
      </c>
      <c r="B247" s="5">
        <v>46268</v>
      </c>
      <c r="C247" s="2" t="s">
        <v>358</v>
      </c>
      <c r="D247" s="2" t="s">
        <v>19</v>
      </c>
      <c r="E247" s="2">
        <v>4001</v>
      </c>
      <c r="F247" s="2" t="s">
        <v>20</v>
      </c>
      <c r="G247" s="2" t="s">
        <v>128</v>
      </c>
      <c r="H247" s="2" t="s">
        <v>129</v>
      </c>
      <c r="I247" s="2" t="s">
        <v>23</v>
      </c>
      <c r="J247" s="2" t="s">
        <v>24</v>
      </c>
      <c r="K247" s="3">
        <v>282000</v>
      </c>
      <c r="L247" s="4">
        <v>0.18</v>
      </c>
      <c r="M247" s="3">
        <v>50760</v>
      </c>
      <c r="N247" s="3">
        <v>332760</v>
      </c>
      <c r="O247" s="2" t="s">
        <v>25</v>
      </c>
      <c r="P247" s="2" t="s">
        <v>26</v>
      </c>
      <c r="Q247" s="2" t="s">
        <v>27</v>
      </c>
    </row>
    <row r="248" spans="1:17" x14ac:dyDescent="0.25">
      <c r="A248" s="2" t="s">
        <v>361</v>
      </c>
      <c r="B248" s="5">
        <v>46269</v>
      </c>
      <c r="C248" s="2" t="s">
        <v>358</v>
      </c>
      <c r="D248" s="2" t="s">
        <v>60</v>
      </c>
      <c r="E248" s="2">
        <v>5502</v>
      </c>
      <c r="F248" s="2" t="s">
        <v>87</v>
      </c>
      <c r="G248" s="2" t="s">
        <v>88</v>
      </c>
      <c r="H248" s="2" t="s">
        <v>89</v>
      </c>
      <c r="I248" s="2" t="s">
        <v>33</v>
      </c>
      <c r="J248" s="2" t="s">
        <v>24</v>
      </c>
      <c r="K248" s="3">
        <v>145500</v>
      </c>
      <c r="L248" s="4">
        <v>0.18</v>
      </c>
      <c r="M248" s="3">
        <v>26190</v>
      </c>
      <c r="N248" s="3">
        <v>171690</v>
      </c>
      <c r="O248" s="2" t="s">
        <v>25</v>
      </c>
      <c r="P248" s="2" t="s">
        <v>54</v>
      </c>
      <c r="Q248" s="2" t="s">
        <v>27</v>
      </c>
    </row>
    <row r="249" spans="1:17" x14ac:dyDescent="0.25">
      <c r="A249" s="2" t="s">
        <v>362</v>
      </c>
      <c r="B249" s="5">
        <v>46270</v>
      </c>
      <c r="C249" s="2" t="s">
        <v>358</v>
      </c>
      <c r="D249" s="2" t="s">
        <v>50</v>
      </c>
      <c r="E249" s="2">
        <v>5402</v>
      </c>
      <c r="F249" s="2" t="s">
        <v>95</v>
      </c>
      <c r="G249" s="2" t="s">
        <v>96</v>
      </c>
      <c r="H249" s="2" t="s">
        <v>97</v>
      </c>
      <c r="I249" s="2" t="s">
        <v>33</v>
      </c>
      <c r="J249" s="2" t="s">
        <v>24</v>
      </c>
      <c r="K249" s="3">
        <v>55000</v>
      </c>
      <c r="L249" s="4">
        <v>0.18</v>
      </c>
      <c r="M249" s="3">
        <v>9900</v>
      </c>
      <c r="N249" s="3">
        <v>64900</v>
      </c>
      <c r="O249" s="2" t="s">
        <v>48</v>
      </c>
      <c r="P249" s="2" t="s">
        <v>42</v>
      </c>
      <c r="Q249" s="2" t="s">
        <v>27</v>
      </c>
    </row>
    <row r="250" spans="1:17" x14ac:dyDescent="0.25">
      <c r="A250" s="2" t="s">
        <v>363</v>
      </c>
      <c r="B250" s="5">
        <v>46271</v>
      </c>
      <c r="C250" s="2" t="s">
        <v>358</v>
      </c>
      <c r="D250" s="2" t="s">
        <v>38</v>
      </c>
      <c r="E250" s="2">
        <v>5203</v>
      </c>
      <c r="F250" s="2" t="s">
        <v>99</v>
      </c>
      <c r="G250" s="2" t="s">
        <v>100</v>
      </c>
      <c r="H250" s="2" t="s">
        <v>101</v>
      </c>
      <c r="I250" s="2" t="s">
        <v>33</v>
      </c>
      <c r="J250" s="2" t="s">
        <v>34</v>
      </c>
      <c r="K250" s="3">
        <v>27810</v>
      </c>
      <c r="L250" s="4">
        <v>0.05</v>
      </c>
      <c r="M250" s="3">
        <v>1391</v>
      </c>
      <c r="N250" s="3">
        <v>29201</v>
      </c>
      <c r="O250" s="2" t="s">
        <v>25</v>
      </c>
      <c r="P250" s="2" t="s">
        <v>54</v>
      </c>
      <c r="Q250" s="2" t="s">
        <v>36</v>
      </c>
    </row>
    <row r="251" spans="1:17" x14ac:dyDescent="0.25">
      <c r="A251" s="2" t="s">
        <v>364</v>
      </c>
      <c r="B251" s="5">
        <v>46272</v>
      </c>
      <c r="C251" s="2" t="s">
        <v>358</v>
      </c>
      <c r="D251" s="2" t="s">
        <v>29</v>
      </c>
      <c r="E251" s="2">
        <v>5104</v>
      </c>
      <c r="F251" s="2" t="s">
        <v>112</v>
      </c>
      <c r="G251" s="2" t="s">
        <v>113</v>
      </c>
      <c r="H251" s="2" t="s">
        <v>114</v>
      </c>
      <c r="I251" s="2" t="s">
        <v>33</v>
      </c>
      <c r="J251" s="2" t="s">
        <v>24</v>
      </c>
      <c r="K251" s="3">
        <v>68900</v>
      </c>
      <c r="L251" s="4">
        <v>0.18</v>
      </c>
      <c r="M251" s="3">
        <v>12402</v>
      </c>
      <c r="N251" s="3">
        <v>81302</v>
      </c>
      <c r="O251" s="2" t="s">
        <v>25</v>
      </c>
      <c r="P251" s="2" t="s">
        <v>54</v>
      </c>
      <c r="Q251" s="2" t="s">
        <v>36</v>
      </c>
    </row>
    <row r="252" spans="1:17" x14ac:dyDescent="0.25">
      <c r="A252" s="2" t="s">
        <v>365</v>
      </c>
      <c r="B252" s="5">
        <v>46273</v>
      </c>
      <c r="C252" s="2" t="s">
        <v>358</v>
      </c>
      <c r="D252" s="2" t="s">
        <v>19</v>
      </c>
      <c r="E252" s="2">
        <v>4003</v>
      </c>
      <c r="F252" s="2" t="s">
        <v>20</v>
      </c>
      <c r="G252" s="2" t="s">
        <v>92</v>
      </c>
      <c r="H252" s="2" t="s">
        <v>93</v>
      </c>
      <c r="I252" s="2" t="s">
        <v>23</v>
      </c>
      <c r="J252" s="2" t="s">
        <v>24</v>
      </c>
      <c r="K252" s="3">
        <v>103550</v>
      </c>
      <c r="L252" s="4">
        <v>0.18</v>
      </c>
      <c r="M252" s="3">
        <v>18639</v>
      </c>
      <c r="N252" s="3">
        <v>122189</v>
      </c>
      <c r="O252" s="2" t="s">
        <v>25</v>
      </c>
      <c r="P252" s="2" t="s">
        <v>35</v>
      </c>
      <c r="Q252" s="2" t="s">
        <v>36</v>
      </c>
    </row>
    <row r="253" spans="1:17" x14ac:dyDescent="0.25">
      <c r="A253" s="2" t="s">
        <v>366</v>
      </c>
      <c r="B253" s="5">
        <v>46274</v>
      </c>
      <c r="C253" s="2" t="s">
        <v>358</v>
      </c>
      <c r="D253" s="2" t="s">
        <v>44</v>
      </c>
      <c r="E253" s="2">
        <v>5303</v>
      </c>
      <c r="F253" s="2" t="s">
        <v>120</v>
      </c>
      <c r="G253" s="2" t="s">
        <v>121</v>
      </c>
      <c r="H253" s="2" t="s">
        <v>122</v>
      </c>
      <c r="I253" s="2" t="s">
        <v>33</v>
      </c>
      <c r="J253" s="2" t="s">
        <v>34</v>
      </c>
      <c r="K253" s="3">
        <v>44800</v>
      </c>
      <c r="L253" s="4">
        <v>0.18</v>
      </c>
      <c r="M253" s="3">
        <v>8064</v>
      </c>
      <c r="N253" s="3">
        <v>52864</v>
      </c>
      <c r="O253" s="2" t="s">
        <v>48</v>
      </c>
      <c r="P253" s="2" t="s">
        <v>42</v>
      </c>
      <c r="Q253" s="2" t="s">
        <v>36</v>
      </c>
    </row>
    <row r="254" spans="1:17" x14ac:dyDescent="0.25">
      <c r="A254" s="2" t="s">
        <v>367</v>
      </c>
      <c r="B254" s="5">
        <v>46275</v>
      </c>
      <c r="C254" s="2" t="s">
        <v>358</v>
      </c>
      <c r="D254" s="2" t="s">
        <v>50</v>
      </c>
      <c r="E254" s="2">
        <v>4102</v>
      </c>
      <c r="F254" s="2" t="s">
        <v>104</v>
      </c>
      <c r="G254" s="2" t="s">
        <v>105</v>
      </c>
      <c r="H254" s="2" t="s">
        <v>106</v>
      </c>
      <c r="I254" s="2" t="s">
        <v>23</v>
      </c>
      <c r="J254" s="2" t="s">
        <v>24</v>
      </c>
      <c r="K254" s="3">
        <v>10560</v>
      </c>
      <c r="L254" s="4">
        <v>0</v>
      </c>
      <c r="M254" s="3">
        <v>0</v>
      </c>
      <c r="N254" s="3">
        <v>10560</v>
      </c>
      <c r="O254" s="2" t="s">
        <v>25</v>
      </c>
      <c r="P254" s="2" t="s">
        <v>54</v>
      </c>
      <c r="Q254" s="2" t="s">
        <v>68</v>
      </c>
    </row>
    <row r="255" spans="1:17" x14ac:dyDescent="0.25">
      <c r="A255" s="2" t="s">
        <v>368</v>
      </c>
      <c r="B255" s="5">
        <v>46276</v>
      </c>
      <c r="C255" s="2" t="s">
        <v>358</v>
      </c>
      <c r="D255" s="2" t="s">
        <v>38</v>
      </c>
      <c r="E255" s="2">
        <v>5204</v>
      </c>
      <c r="F255" s="2" t="s">
        <v>131</v>
      </c>
      <c r="G255" s="2" t="s">
        <v>132</v>
      </c>
      <c r="H255" s="2" t="s">
        <v>133</v>
      </c>
      <c r="I255" s="2" t="s">
        <v>33</v>
      </c>
      <c r="J255" s="2" t="s">
        <v>58</v>
      </c>
      <c r="K255" s="3">
        <v>22750</v>
      </c>
      <c r="L255" s="4">
        <v>0.18</v>
      </c>
      <c r="M255" s="3">
        <v>4095</v>
      </c>
      <c r="N255" s="3">
        <v>26845</v>
      </c>
      <c r="O255" s="2" t="s">
        <v>25</v>
      </c>
      <c r="P255" s="2" t="s">
        <v>35</v>
      </c>
      <c r="Q255" s="2" t="s">
        <v>68</v>
      </c>
    </row>
    <row r="256" spans="1:17" x14ac:dyDescent="0.25">
      <c r="A256" s="2" t="s">
        <v>369</v>
      </c>
      <c r="B256" s="5">
        <v>46277</v>
      </c>
      <c r="C256" s="2" t="s">
        <v>358</v>
      </c>
      <c r="D256" s="2" t="s">
        <v>29</v>
      </c>
      <c r="E256" s="2">
        <v>5105</v>
      </c>
      <c r="F256" s="2" t="s">
        <v>135</v>
      </c>
      <c r="G256" s="2" t="s">
        <v>136</v>
      </c>
      <c r="H256" s="2" t="s">
        <v>137</v>
      </c>
      <c r="I256" s="2" t="s">
        <v>33</v>
      </c>
      <c r="J256" s="2" t="s">
        <v>24</v>
      </c>
      <c r="K256" s="3">
        <v>47000</v>
      </c>
      <c r="L256" s="4">
        <v>0.18</v>
      </c>
      <c r="M256" s="3">
        <v>8460</v>
      </c>
      <c r="N256" s="3">
        <v>55460</v>
      </c>
      <c r="O256" s="2" t="s">
        <v>25</v>
      </c>
      <c r="P256" s="2" t="s">
        <v>42</v>
      </c>
      <c r="Q256" s="2" t="s">
        <v>36</v>
      </c>
    </row>
    <row r="257" spans="1:17" x14ac:dyDescent="0.25">
      <c r="A257" s="2" t="s">
        <v>370</v>
      </c>
      <c r="B257" s="5">
        <v>46278</v>
      </c>
      <c r="C257" s="2" t="s">
        <v>358</v>
      </c>
      <c r="D257" s="2" t="s">
        <v>19</v>
      </c>
      <c r="E257" s="2">
        <v>4003</v>
      </c>
      <c r="F257" s="2" t="s">
        <v>20</v>
      </c>
      <c r="G257" s="2" t="s">
        <v>79</v>
      </c>
      <c r="H257" s="2" t="s">
        <v>80</v>
      </c>
      <c r="I257" s="2" t="s">
        <v>23</v>
      </c>
      <c r="J257" s="2" t="s">
        <v>24</v>
      </c>
      <c r="K257" s="3">
        <v>169750</v>
      </c>
      <c r="L257" s="4">
        <v>0.18</v>
      </c>
      <c r="M257" s="3">
        <v>30555</v>
      </c>
      <c r="N257" s="3">
        <v>200305</v>
      </c>
      <c r="O257" s="2" t="s">
        <v>48</v>
      </c>
      <c r="P257" s="2" t="s">
        <v>26</v>
      </c>
      <c r="Q257" s="2" t="s">
        <v>27</v>
      </c>
    </row>
    <row r="258" spans="1:17" x14ac:dyDescent="0.25">
      <c r="A258" s="2" t="s">
        <v>371</v>
      </c>
      <c r="B258" s="5">
        <v>46279</v>
      </c>
      <c r="C258" s="2" t="s">
        <v>358</v>
      </c>
      <c r="D258" s="2" t="s">
        <v>38</v>
      </c>
      <c r="E258" s="2">
        <v>5201</v>
      </c>
      <c r="F258" s="2" t="s">
        <v>39</v>
      </c>
      <c r="G258" s="2" t="s">
        <v>40</v>
      </c>
      <c r="H258" s="2" t="s">
        <v>41</v>
      </c>
      <c r="I258" s="2" t="s">
        <v>33</v>
      </c>
      <c r="J258" s="2" t="s">
        <v>24</v>
      </c>
      <c r="K258" s="3">
        <v>80000</v>
      </c>
      <c r="L258" s="4">
        <v>0.18</v>
      </c>
      <c r="M258" s="3">
        <v>14400</v>
      </c>
      <c r="N258" s="3">
        <v>94400</v>
      </c>
      <c r="O258" s="2" t="s">
        <v>25</v>
      </c>
      <c r="P258" s="2" t="s">
        <v>42</v>
      </c>
      <c r="Q258" s="2" t="s">
        <v>27</v>
      </c>
    </row>
    <row r="259" spans="1:17" x14ac:dyDescent="0.25">
      <c r="A259" s="2" t="s">
        <v>372</v>
      </c>
      <c r="B259" s="5">
        <v>46280</v>
      </c>
      <c r="C259" s="2" t="s">
        <v>358</v>
      </c>
      <c r="D259" s="2" t="s">
        <v>44</v>
      </c>
      <c r="E259" s="2">
        <v>5301</v>
      </c>
      <c r="F259" s="2" t="s">
        <v>45</v>
      </c>
      <c r="G259" s="2" t="s">
        <v>46</v>
      </c>
      <c r="H259" s="2" t="s">
        <v>47</v>
      </c>
      <c r="I259" s="2" t="s">
        <v>33</v>
      </c>
      <c r="J259" s="2" t="s">
        <v>24</v>
      </c>
      <c r="K259" s="3">
        <v>30900</v>
      </c>
      <c r="L259" s="4">
        <v>0.18</v>
      </c>
      <c r="M259" s="3">
        <v>5562</v>
      </c>
      <c r="N259" s="3">
        <v>36462</v>
      </c>
      <c r="O259" s="2" t="s">
        <v>25</v>
      </c>
      <c r="P259" s="2" t="s">
        <v>26</v>
      </c>
      <c r="Q259" s="2" t="s">
        <v>36</v>
      </c>
    </row>
    <row r="260" spans="1:17" x14ac:dyDescent="0.25">
      <c r="A260" s="2" t="s">
        <v>373</v>
      </c>
      <c r="B260" s="5">
        <v>46281</v>
      </c>
      <c r="C260" s="2" t="s">
        <v>358</v>
      </c>
      <c r="D260" s="2" t="s">
        <v>50</v>
      </c>
      <c r="E260" s="2">
        <v>5401</v>
      </c>
      <c r="F260" s="2" t="s">
        <v>51</v>
      </c>
      <c r="G260" s="2" t="s">
        <v>52</v>
      </c>
      <c r="H260" s="2" t="s">
        <v>53</v>
      </c>
      <c r="I260" s="2" t="s">
        <v>33</v>
      </c>
      <c r="J260" s="2" t="s">
        <v>24</v>
      </c>
      <c r="K260" s="3">
        <v>63600</v>
      </c>
      <c r="L260" s="4">
        <v>0.18</v>
      </c>
      <c r="M260" s="3">
        <v>11448</v>
      </c>
      <c r="N260" s="3">
        <v>75048</v>
      </c>
      <c r="O260" s="2" t="s">
        <v>25</v>
      </c>
      <c r="P260" s="2" t="s">
        <v>54</v>
      </c>
      <c r="Q260" s="2" t="s">
        <v>27</v>
      </c>
    </row>
    <row r="261" spans="1:17" x14ac:dyDescent="0.25">
      <c r="A261" s="2" t="s">
        <v>374</v>
      </c>
      <c r="B261" s="5">
        <v>46282</v>
      </c>
      <c r="C261" s="2" t="s">
        <v>358</v>
      </c>
      <c r="D261" s="2" t="s">
        <v>50</v>
      </c>
      <c r="E261" s="2">
        <v>4101</v>
      </c>
      <c r="F261" s="2" t="s">
        <v>74</v>
      </c>
      <c r="G261" s="2" t="s">
        <v>75</v>
      </c>
      <c r="H261" s="2" t="s">
        <v>76</v>
      </c>
      <c r="I261" s="2" t="s">
        <v>23</v>
      </c>
      <c r="J261" s="2" t="s">
        <v>24</v>
      </c>
      <c r="K261" s="3">
        <v>19620</v>
      </c>
      <c r="L261" s="4">
        <v>0</v>
      </c>
      <c r="M261" s="3">
        <v>0</v>
      </c>
      <c r="N261" s="3">
        <v>19620</v>
      </c>
      <c r="O261" s="2" t="s">
        <v>48</v>
      </c>
      <c r="P261" s="2" t="s">
        <v>42</v>
      </c>
      <c r="Q261" s="2" t="s">
        <v>68</v>
      </c>
    </row>
    <row r="262" spans="1:17" x14ac:dyDescent="0.25">
      <c r="A262" s="2" t="s">
        <v>375</v>
      </c>
      <c r="B262" s="5">
        <v>46283</v>
      </c>
      <c r="C262" s="2" t="s">
        <v>358</v>
      </c>
      <c r="D262" s="2" t="s">
        <v>50</v>
      </c>
      <c r="E262" s="2">
        <v>4102</v>
      </c>
      <c r="F262" s="2" t="s">
        <v>104</v>
      </c>
      <c r="G262" s="2" t="s">
        <v>105</v>
      </c>
      <c r="H262" s="2" t="s">
        <v>106</v>
      </c>
      <c r="I262" s="2" t="s">
        <v>23</v>
      </c>
      <c r="J262" s="2" t="s">
        <v>24</v>
      </c>
      <c r="K262" s="3">
        <v>13440</v>
      </c>
      <c r="L262" s="4">
        <v>0</v>
      </c>
      <c r="M262" s="3">
        <v>0</v>
      </c>
      <c r="N262" s="3">
        <v>13440</v>
      </c>
      <c r="O262" s="2" t="s">
        <v>25</v>
      </c>
      <c r="P262" s="2" t="s">
        <v>54</v>
      </c>
      <c r="Q262" s="2" t="s">
        <v>68</v>
      </c>
    </row>
    <row r="263" spans="1:17" x14ac:dyDescent="0.25">
      <c r="A263" s="2" t="s">
        <v>376</v>
      </c>
      <c r="B263" s="5">
        <v>46284</v>
      </c>
      <c r="C263" s="2" t="s">
        <v>358</v>
      </c>
      <c r="D263" s="2" t="s">
        <v>29</v>
      </c>
      <c r="E263" s="2">
        <v>5103</v>
      </c>
      <c r="F263" s="2" t="s">
        <v>70</v>
      </c>
      <c r="G263" s="2" t="s">
        <v>71</v>
      </c>
      <c r="H263" s="2" t="s">
        <v>72</v>
      </c>
      <c r="I263" s="2" t="s">
        <v>33</v>
      </c>
      <c r="J263" s="2" t="s">
        <v>24</v>
      </c>
      <c r="K263" s="3">
        <v>79200</v>
      </c>
      <c r="L263" s="4">
        <v>0.18</v>
      </c>
      <c r="M263" s="3">
        <v>14256</v>
      </c>
      <c r="N263" s="3">
        <v>93456</v>
      </c>
      <c r="O263" s="2" t="s">
        <v>25</v>
      </c>
      <c r="P263" s="2" t="s">
        <v>54</v>
      </c>
      <c r="Q263" s="2" t="s">
        <v>27</v>
      </c>
    </row>
    <row r="264" spans="1:17" x14ac:dyDescent="0.25">
      <c r="A264" s="2" t="s">
        <v>377</v>
      </c>
      <c r="B264" s="5">
        <v>46285</v>
      </c>
      <c r="C264" s="2" t="s">
        <v>358</v>
      </c>
      <c r="D264" s="2" t="s">
        <v>44</v>
      </c>
      <c r="E264" s="2">
        <v>5302</v>
      </c>
      <c r="F264" s="2" t="s">
        <v>82</v>
      </c>
      <c r="G264" s="2" t="s">
        <v>83</v>
      </c>
      <c r="H264" s="2" t="s">
        <v>84</v>
      </c>
      <c r="I264" s="2" t="s">
        <v>33</v>
      </c>
      <c r="J264" s="2" t="s">
        <v>34</v>
      </c>
      <c r="K264" s="3">
        <v>20020</v>
      </c>
      <c r="L264" s="4">
        <v>0.18</v>
      </c>
      <c r="M264" s="3">
        <v>3604</v>
      </c>
      <c r="N264" s="3">
        <v>23624</v>
      </c>
      <c r="O264" s="2" t="s">
        <v>25</v>
      </c>
      <c r="P264" s="2" t="s">
        <v>35</v>
      </c>
      <c r="Q264" s="2" t="s">
        <v>36</v>
      </c>
    </row>
    <row r="265" spans="1:17" x14ac:dyDescent="0.25">
      <c r="A265" s="2" t="s">
        <v>378</v>
      </c>
      <c r="B265" s="5">
        <v>46286</v>
      </c>
      <c r="C265" s="2" t="s">
        <v>358</v>
      </c>
      <c r="D265" s="2" t="s">
        <v>60</v>
      </c>
      <c r="E265" s="2">
        <v>5502</v>
      </c>
      <c r="F265" s="2" t="s">
        <v>87</v>
      </c>
      <c r="G265" s="2" t="s">
        <v>88</v>
      </c>
      <c r="H265" s="2" t="s">
        <v>89</v>
      </c>
      <c r="I265" s="2" t="s">
        <v>33</v>
      </c>
      <c r="J265" s="2" t="s">
        <v>24</v>
      </c>
      <c r="K265" s="3">
        <v>141000</v>
      </c>
      <c r="L265" s="4">
        <v>0.18</v>
      </c>
      <c r="M265" s="3">
        <v>25380</v>
      </c>
      <c r="N265" s="3">
        <v>166380</v>
      </c>
      <c r="O265" s="2" t="s">
        <v>48</v>
      </c>
      <c r="P265" s="2" t="s">
        <v>54</v>
      </c>
      <c r="Q265" s="2" t="s">
        <v>27</v>
      </c>
    </row>
    <row r="266" spans="1:17" x14ac:dyDescent="0.25">
      <c r="A266" s="2" t="s">
        <v>379</v>
      </c>
      <c r="B266" s="5">
        <v>46287</v>
      </c>
      <c r="C266" s="2" t="s">
        <v>358</v>
      </c>
      <c r="D266" s="2" t="s">
        <v>50</v>
      </c>
      <c r="E266" s="2">
        <v>5402</v>
      </c>
      <c r="F266" s="2" t="s">
        <v>95</v>
      </c>
      <c r="G266" s="2" t="s">
        <v>96</v>
      </c>
      <c r="H266" s="2" t="s">
        <v>97</v>
      </c>
      <c r="I266" s="2" t="s">
        <v>33</v>
      </c>
      <c r="J266" s="2" t="s">
        <v>24</v>
      </c>
      <c r="K266" s="3">
        <v>53350</v>
      </c>
      <c r="L266" s="4">
        <v>0.18</v>
      </c>
      <c r="M266" s="3">
        <v>9603</v>
      </c>
      <c r="N266" s="3">
        <v>62953</v>
      </c>
      <c r="O266" s="2" t="s">
        <v>25</v>
      </c>
      <c r="P266" s="2" t="s">
        <v>42</v>
      </c>
      <c r="Q266" s="2" t="s">
        <v>27</v>
      </c>
    </row>
    <row r="267" spans="1:17" x14ac:dyDescent="0.25">
      <c r="A267" s="2" t="s">
        <v>380</v>
      </c>
      <c r="B267" s="5">
        <v>46288</v>
      </c>
      <c r="C267" s="2" t="s">
        <v>358</v>
      </c>
      <c r="D267" s="2" t="s">
        <v>19</v>
      </c>
      <c r="E267" s="2">
        <v>4002</v>
      </c>
      <c r="F267" s="2" t="s">
        <v>20</v>
      </c>
      <c r="G267" s="2" t="s">
        <v>56</v>
      </c>
      <c r="H267" s="2" t="s">
        <v>57</v>
      </c>
      <c r="I267" s="2" t="s">
        <v>23</v>
      </c>
      <c r="J267" s="2" t="s">
        <v>58</v>
      </c>
      <c r="K267" s="3">
        <v>120000</v>
      </c>
      <c r="L267" s="4">
        <v>0.18</v>
      </c>
      <c r="M267" s="3">
        <v>21600</v>
      </c>
      <c r="N267" s="3">
        <v>141600</v>
      </c>
      <c r="O267" s="2" t="s">
        <v>25</v>
      </c>
      <c r="P267" s="2" t="s">
        <v>35</v>
      </c>
      <c r="Q267" s="2" t="s">
        <v>27</v>
      </c>
    </row>
    <row r="268" spans="1:17" x14ac:dyDescent="0.25">
      <c r="A268" s="2" t="s">
        <v>381</v>
      </c>
      <c r="B268" s="5">
        <v>46289</v>
      </c>
      <c r="C268" s="2" t="s">
        <v>358</v>
      </c>
      <c r="D268" s="2" t="s">
        <v>19</v>
      </c>
      <c r="E268" s="2">
        <v>4003</v>
      </c>
      <c r="F268" s="2" t="s">
        <v>20</v>
      </c>
      <c r="G268" s="2" t="s">
        <v>92</v>
      </c>
      <c r="H268" s="2" t="s">
        <v>93</v>
      </c>
      <c r="I268" s="2" t="s">
        <v>23</v>
      </c>
      <c r="J268" s="2" t="s">
        <v>24</v>
      </c>
      <c r="K268" s="3">
        <v>97850</v>
      </c>
      <c r="L268" s="4">
        <v>0.18</v>
      </c>
      <c r="M268" s="3">
        <v>17613</v>
      </c>
      <c r="N268" s="3">
        <v>115463</v>
      </c>
      <c r="O268" s="2" t="s">
        <v>25</v>
      </c>
      <c r="P268" s="2" t="s">
        <v>35</v>
      </c>
      <c r="Q268" s="2" t="s">
        <v>36</v>
      </c>
    </row>
    <row r="269" spans="1:17" x14ac:dyDescent="0.25">
      <c r="A269" s="2" t="s">
        <v>382</v>
      </c>
      <c r="B269" s="5">
        <v>46290</v>
      </c>
      <c r="C269" s="2" t="s">
        <v>358</v>
      </c>
      <c r="D269" s="2" t="s">
        <v>60</v>
      </c>
      <c r="E269" s="2">
        <v>5501</v>
      </c>
      <c r="F269" s="2" t="s">
        <v>61</v>
      </c>
      <c r="G269" s="2" t="s">
        <v>117</v>
      </c>
      <c r="H269" s="2" t="s">
        <v>118</v>
      </c>
      <c r="I269" s="2" t="s">
        <v>33</v>
      </c>
      <c r="J269" s="2" t="s">
        <v>34</v>
      </c>
      <c r="K269" s="3">
        <v>76320</v>
      </c>
      <c r="L269" s="4">
        <v>0.18</v>
      </c>
      <c r="M269" s="3">
        <v>13738</v>
      </c>
      <c r="N269" s="3">
        <v>90058</v>
      </c>
      <c r="O269" s="2" t="s">
        <v>48</v>
      </c>
      <c r="P269" s="2" t="s">
        <v>35</v>
      </c>
      <c r="Q269" s="2" t="s">
        <v>27</v>
      </c>
    </row>
    <row r="270" spans="1:17" x14ac:dyDescent="0.25">
      <c r="A270" s="2" t="s">
        <v>383</v>
      </c>
      <c r="B270" s="5">
        <v>46291</v>
      </c>
      <c r="C270" s="2" t="s">
        <v>358</v>
      </c>
      <c r="D270" s="2" t="s">
        <v>44</v>
      </c>
      <c r="E270" s="2">
        <v>5303</v>
      </c>
      <c r="F270" s="2" t="s">
        <v>120</v>
      </c>
      <c r="G270" s="2" t="s">
        <v>121</v>
      </c>
      <c r="H270" s="2" t="s">
        <v>122</v>
      </c>
      <c r="I270" s="2" t="s">
        <v>33</v>
      </c>
      <c r="J270" s="2" t="s">
        <v>34</v>
      </c>
      <c r="K270" s="3">
        <v>43600</v>
      </c>
      <c r="L270" s="4">
        <v>0.18</v>
      </c>
      <c r="M270" s="3">
        <v>7848</v>
      </c>
      <c r="N270" s="3">
        <v>51448</v>
      </c>
      <c r="O270" s="2" t="s">
        <v>25</v>
      </c>
      <c r="P270" s="2" t="s">
        <v>42</v>
      </c>
      <c r="Q270" s="2" t="s">
        <v>36</v>
      </c>
    </row>
    <row r="271" spans="1:17" x14ac:dyDescent="0.25">
      <c r="A271" s="2" t="s">
        <v>384</v>
      </c>
      <c r="B271" s="5">
        <v>46292</v>
      </c>
      <c r="C271" s="2" t="s">
        <v>358</v>
      </c>
      <c r="D271" s="2" t="s">
        <v>50</v>
      </c>
      <c r="E271" s="2">
        <v>5403</v>
      </c>
      <c r="F271" s="2" t="s">
        <v>124</v>
      </c>
      <c r="G271" s="2" t="s">
        <v>125</v>
      </c>
      <c r="H271" s="2" t="s">
        <v>126</v>
      </c>
      <c r="I271" s="2" t="s">
        <v>33</v>
      </c>
      <c r="J271" s="2" t="s">
        <v>24</v>
      </c>
      <c r="K271" s="3">
        <v>52640</v>
      </c>
      <c r="L271" s="4">
        <v>0.18</v>
      </c>
      <c r="M271" s="3">
        <v>9475</v>
      </c>
      <c r="N271" s="3">
        <v>62115</v>
      </c>
      <c r="O271" s="2" t="s">
        <v>25</v>
      </c>
      <c r="P271" s="2" t="s">
        <v>54</v>
      </c>
      <c r="Q271" s="2" t="s">
        <v>27</v>
      </c>
    </row>
    <row r="272" spans="1:17" x14ac:dyDescent="0.25">
      <c r="A272" s="2" t="s">
        <v>385</v>
      </c>
      <c r="B272" s="5">
        <v>46293</v>
      </c>
      <c r="C272" s="2" t="s">
        <v>358</v>
      </c>
      <c r="D272" s="2" t="s">
        <v>19</v>
      </c>
      <c r="E272" s="2">
        <v>4002</v>
      </c>
      <c r="F272" s="2" t="s">
        <v>20</v>
      </c>
      <c r="G272" s="2" t="s">
        <v>109</v>
      </c>
      <c r="H272" s="2" t="s">
        <v>110</v>
      </c>
      <c r="I272" s="2" t="s">
        <v>23</v>
      </c>
      <c r="J272" s="2" t="s">
        <v>24</v>
      </c>
      <c r="K272" s="3">
        <v>184800</v>
      </c>
      <c r="L272" s="4">
        <v>0.18</v>
      </c>
      <c r="M272" s="3">
        <v>33264</v>
      </c>
      <c r="N272" s="3">
        <v>218064</v>
      </c>
      <c r="O272" s="2" t="s">
        <v>25</v>
      </c>
      <c r="P272" s="2" t="s">
        <v>42</v>
      </c>
      <c r="Q272" s="2" t="s">
        <v>27</v>
      </c>
    </row>
    <row r="273" spans="1:17" x14ac:dyDescent="0.25">
      <c r="A273" s="2" t="s">
        <v>386</v>
      </c>
      <c r="B273" s="5">
        <v>46294</v>
      </c>
      <c r="C273" s="2" t="s">
        <v>358</v>
      </c>
      <c r="D273" s="2" t="s">
        <v>29</v>
      </c>
      <c r="E273" s="2">
        <v>5105</v>
      </c>
      <c r="F273" s="2" t="s">
        <v>135</v>
      </c>
      <c r="G273" s="2" t="s">
        <v>136</v>
      </c>
      <c r="H273" s="2" t="s">
        <v>137</v>
      </c>
      <c r="I273" s="2" t="s">
        <v>33</v>
      </c>
      <c r="J273" s="2" t="s">
        <v>24</v>
      </c>
      <c r="K273" s="3">
        <v>45500</v>
      </c>
      <c r="L273" s="4">
        <v>0.18</v>
      </c>
      <c r="M273" s="3">
        <v>8190</v>
      </c>
      <c r="N273" s="3">
        <v>53690</v>
      </c>
      <c r="O273" s="2" t="s">
        <v>48</v>
      </c>
      <c r="P273" s="2" t="s">
        <v>42</v>
      </c>
      <c r="Q273" s="2" t="s">
        <v>36</v>
      </c>
    </row>
    <row r="274" spans="1:17" x14ac:dyDescent="0.25">
      <c r="A274" s="2" t="s">
        <v>387</v>
      </c>
      <c r="B274" s="5">
        <v>46295</v>
      </c>
      <c r="C274" s="2" t="s">
        <v>358</v>
      </c>
      <c r="D274" s="2" t="s">
        <v>29</v>
      </c>
      <c r="E274" s="2">
        <v>5102</v>
      </c>
      <c r="F274" s="2" t="s">
        <v>30</v>
      </c>
      <c r="G274" s="2" t="s">
        <v>31</v>
      </c>
      <c r="H274" s="2" t="s">
        <v>32</v>
      </c>
      <c r="I274" s="2" t="s">
        <v>33</v>
      </c>
      <c r="J274" s="2" t="s">
        <v>34</v>
      </c>
      <c r="K274" s="3">
        <v>42300</v>
      </c>
      <c r="L274" s="4">
        <v>0.18</v>
      </c>
      <c r="M274" s="3">
        <v>7614</v>
      </c>
      <c r="N274" s="3">
        <v>49914</v>
      </c>
      <c r="O274" s="2" t="s">
        <v>25</v>
      </c>
      <c r="P274" s="2" t="s">
        <v>35</v>
      </c>
      <c r="Q274" s="2" t="s">
        <v>36</v>
      </c>
    </row>
    <row r="275" spans="1:17" x14ac:dyDescent="0.25">
      <c r="A275" s="2" t="s">
        <v>388</v>
      </c>
      <c r="B275" s="5">
        <v>46296</v>
      </c>
      <c r="C275" s="2" t="s">
        <v>389</v>
      </c>
      <c r="D275" s="2" t="s">
        <v>19</v>
      </c>
      <c r="E275" s="2">
        <v>4002</v>
      </c>
      <c r="F275" s="2" t="s">
        <v>20</v>
      </c>
      <c r="G275" s="2" t="s">
        <v>56</v>
      </c>
      <c r="H275" s="2" t="s">
        <v>57</v>
      </c>
      <c r="I275" s="2" t="s">
        <v>23</v>
      </c>
      <c r="J275" s="2" t="s">
        <v>58</v>
      </c>
      <c r="K275" s="3">
        <v>116400</v>
      </c>
      <c r="L275" s="4">
        <v>0.18</v>
      </c>
      <c r="M275" s="3">
        <v>20952</v>
      </c>
      <c r="N275" s="3">
        <v>137352</v>
      </c>
      <c r="O275" s="2" t="s">
        <v>25</v>
      </c>
      <c r="P275" s="2" t="s">
        <v>35</v>
      </c>
      <c r="Q275" s="2" t="s">
        <v>27</v>
      </c>
    </row>
    <row r="276" spans="1:17" x14ac:dyDescent="0.25">
      <c r="A276" s="2" t="s">
        <v>390</v>
      </c>
      <c r="B276" s="5">
        <v>46297</v>
      </c>
      <c r="C276" s="2" t="s">
        <v>389</v>
      </c>
      <c r="D276" s="2" t="s">
        <v>44</v>
      </c>
      <c r="E276" s="2">
        <v>5301</v>
      </c>
      <c r="F276" s="2" t="s">
        <v>45</v>
      </c>
      <c r="G276" s="2" t="s">
        <v>46</v>
      </c>
      <c r="H276" s="2" t="s">
        <v>47</v>
      </c>
      <c r="I276" s="2" t="s">
        <v>33</v>
      </c>
      <c r="J276" s="2" t="s">
        <v>24</v>
      </c>
      <c r="K276" s="3">
        <v>30000</v>
      </c>
      <c r="L276" s="4">
        <v>0.18</v>
      </c>
      <c r="M276" s="3">
        <v>5400</v>
      </c>
      <c r="N276" s="3">
        <v>35400</v>
      </c>
      <c r="O276" s="2" t="s">
        <v>25</v>
      </c>
      <c r="P276" s="2" t="s">
        <v>26</v>
      </c>
      <c r="Q276" s="2" t="s">
        <v>36</v>
      </c>
    </row>
    <row r="277" spans="1:17" x14ac:dyDescent="0.25">
      <c r="A277" s="2" t="s">
        <v>391</v>
      </c>
      <c r="B277" s="5">
        <v>46298</v>
      </c>
      <c r="C277" s="2" t="s">
        <v>389</v>
      </c>
      <c r="D277" s="2" t="s">
        <v>50</v>
      </c>
      <c r="E277" s="2">
        <v>4101</v>
      </c>
      <c r="F277" s="2" t="s">
        <v>74</v>
      </c>
      <c r="G277" s="2" t="s">
        <v>75</v>
      </c>
      <c r="H277" s="2" t="s">
        <v>76</v>
      </c>
      <c r="I277" s="2" t="s">
        <v>23</v>
      </c>
      <c r="J277" s="2" t="s">
        <v>24</v>
      </c>
      <c r="K277" s="3">
        <v>18540</v>
      </c>
      <c r="L277" s="4">
        <v>0</v>
      </c>
      <c r="M277" s="3">
        <v>0</v>
      </c>
      <c r="N277" s="3">
        <v>18540</v>
      </c>
      <c r="O277" s="2" t="s">
        <v>48</v>
      </c>
      <c r="P277" s="2" t="s">
        <v>42</v>
      </c>
      <c r="Q277" s="2" t="s">
        <v>68</v>
      </c>
    </row>
    <row r="278" spans="1:17" x14ac:dyDescent="0.25">
      <c r="A278" s="2" t="s">
        <v>392</v>
      </c>
      <c r="B278" s="5">
        <v>46299</v>
      </c>
      <c r="C278" s="2" t="s">
        <v>389</v>
      </c>
      <c r="D278" s="2" t="s">
        <v>60</v>
      </c>
      <c r="E278" s="2">
        <v>5501</v>
      </c>
      <c r="F278" s="2" t="s">
        <v>61</v>
      </c>
      <c r="G278" s="2" t="s">
        <v>62</v>
      </c>
      <c r="H278" s="2" t="s">
        <v>63</v>
      </c>
      <c r="I278" s="2" t="s">
        <v>33</v>
      </c>
      <c r="J278" s="2" t="s">
        <v>34</v>
      </c>
      <c r="K278" s="3">
        <v>76320</v>
      </c>
      <c r="L278" s="4">
        <v>0.18</v>
      </c>
      <c r="M278" s="3">
        <v>13738</v>
      </c>
      <c r="N278" s="3">
        <v>90058</v>
      </c>
      <c r="O278" s="2" t="s">
        <v>25</v>
      </c>
      <c r="P278" s="2" t="s">
        <v>42</v>
      </c>
      <c r="Q278" s="2" t="s">
        <v>27</v>
      </c>
    </row>
    <row r="279" spans="1:17" x14ac:dyDescent="0.25">
      <c r="A279" s="2" t="s">
        <v>393</v>
      </c>
      <c r="B279" s="5">
        <v>46300</v>
      </c>
      <c r="C279" s="2" t="s">
        <v>389</v>
      </c>
      <c r="D279" s="2" t="s">
        <v>38</v>
      </c>
      <c r="E279" s="2">
        <v>5202</v>
      </c>
      <c r="F279" s="2" t="s">
        <v>65</v>
      </c>
      <c r="G279" s="2" t="s">
        <v>66</v>
      </c>
      <c r="H279" s="2" t="s">
        <v>67</v>
      </c>
      <c r="I279" s="2" t="s">
        <v>33</v>
      </c>
      <c r="J279" s="2" t="s">
        <v>58</v>
      </c>
      <c r="K279" s="3">
        <v>16350</v>
      </c>
      <c r="L279" s="4">
        <v>0.18</v>
      </c>
      <c r="M279" s="3">
        <v>2943</v>
      </c>
      <c r="N279" s="3">
        <v>19293</v>
      </c>
      <c r="O279" s="2" t="s">
        <v>25</v>
      </c>
      <c r="P279" s="2" t="s">
        <v>26</v>
      </c>
      <c r="Q279" s="2" t="s">
        <v>68</v>
      </c>
    </row>
    <row r="280" spans="1:17" x14ac:dyDescent="0.25">
      <c r="A280" s="2" t="s">
        <v>394</v>
      </c>
      <c r="B280" s="5">
        <v>46301</v>
      </c>
      <c r="C280" s="2" t="s">
        <v>389</v>
      </c>
      <c r="D280" s="2" t="s">
        <v>29</v>
      </c>
      <c r="E280" s="2">
        <v>5103</v>
      </c>
      <c r="F280" s="2" t="s">
        <v>70</v>
      </c>
      <c r="G280" s="2" t="s">
        <v>71</v>
      </c>
      <c r="H280" s="2" t="s">
        <v>72</v>
      </c>
      <c r="I280" s="2" t="s">
        <v>33</v>
      </c>
      <c r="J280" s="2" t="s">
        <v>24</v>
      </c>
      <c r="K280" s="3">
        <v>100800</v>
      </c>
      <c r="L280" s="4">
        <v>0.18</v>
      </c>
      <c r="M280" s="3">
        <v>18144</v>
      </c>
      <c r="N280" s="3">
        <v>118944</v>
      </c>
      <c r="O280" s="2" t="s">
        <v>25</v>
      </c>
      <c r="P280" s="2" t="s">
        <v>54</v>
      </c>
      <c r="Q280" s="2" t="s">
        <v>27</v>
      </c>
    </row>
    <row r="281" spans="1:17" x14ac:dyDescent="0.25">
      <c r="A281" s="2" t="s">
        <v>395</v>
      </c>
      <c r="B281" s="5">
        <v>46302</v>
      </c>
      <c r="C281" s="2" t="s">
        <v>389</v>
      </c>
      <c r="D281" s="2" t="s">
        <v>44</v>
      </c>
      <c r="E281" s="2">
        <v>5302</v>
      </c>
      <c r="F281" s="2" t="s">
        <v>82</v>
      </c>
      <c r="G281" s="2" t="s">
        <v>83</v>
      </c>
      <c r="H281" s="2" t="s">
        <v>84</v>
      </c>
      <c r="I281" s="2" t="s">
        <v>33</v>
      </c>
      <c r="J281" s="2" t="s">
        <v>34</v>
      </c>
      <c r="K281" s="3">
        <v>19360</v>
      </c>
      <c r="L281" s="4">
        <v>0.18</v>
      </c>
      <c r="M281" s="3">
        <v>3485</v>
      </c>
      <c r="N281" s="3">
        <v>22845</v>
      </c>
      <c r="O281" s="2" t="s">
        <v>48</v>
      </c>
      <c r="P281" s="2" t="s">
        <v>35</v>
      </c>
      <c r="Q281" s="2" t="s">
        <v>36</v>
      </c>
    </row>
    <row r="282" spans="1:17" x14ac:dyDescent="0.25">
      <c r="A282" s="2" t="s">
        <v>396</v>
      </c>
      <c r="B282" s="5">
        <v>46303</v>
      </c>
      <c r="C282" s="2" t="s">
        <v>389</v>
      </c>
      <c r="D282" s="2" t="s">
        <v>19</v>
      </c>
      <c r="E282" s="2">
        <v>4001</v>
      </c>
      <c r="F282" s="2" t="s">
        <v>20</v>
      </c>
      <c r="G282" s="2" t="s">
        <v>21</v>
      </c>
      <c r="H282" s="2" t="s">
        <v>22</v>
      </c>
      <c r="I282" s="2" t="s">
        <v>23</v>
      </c>
      <c r="J282" s="2" t="s">
        <v>24</v>
      </c>
      <c r="K282" s="3">
        <v>227500</v>
      </c>
      <c r="L282" s="4">
        <v>0.18</v>
      </c>
      <c r="M282" s="3">
        <v>40950</v>
      </c>
      <c r="N282" s="3">
        <v>268450</v>
      </c>
      <c r="O282" s="2" t="s">
        <v>25</v>
      </c>
      <c r="P282" s="2" t="s">
        <v>26</v>
      </c>
      <c r="Q282" s="2" t="s">
        <v>27</v>
      </c>
    </row>
    <row r="283" spans="1:17" x14ac:dyDescent="0.25">
      <c r="A283" s="2" t="s">
        <v>397</v>
      </c>
      <c r="B283" s="5">
        <v>46304</v>
      </c>
      <c r="C283" s="2" t="s">
        <v>389</v>
      </c>
      <c r="D283" s="2" t="s">
        <v>50</v>
      </c>
      <c r="E283" s="2">
        <v>5402</v>
      </c>
      <c r="F283" s="2" t="s">
        <v>95</v>
      </c>
      <c r="G283" s="2" t="s">
        <v>96</v>
      </c>
      <c r="H283" s="2" t="s">
        <v>97</v>
      </c>
      <c r="I283" s="2" t="s">
        <v>33</v>
      </c>
      <c r="J283" s="2" t="s">
        <v>24</v>
      </c>
      <c r="K283" s="3">
        <v>51700</v>
      </c>
      <c r="L283" s="4">
        <v>0.18</v>
      </c>
      <c r="M283" s="3">
        <v>9306</v>
      </c>
      <c r="N283" s="3">
        <v>61006</v>
      </c>
      <c r="O283" s="2" t="s">
        <v>25</v>
      </c>
      <c r="P283" s="2" t="s">
        <v>42</v>
      </c>
      <c r="Q283" s="2" t="s">
        <v>27</v>
      </c>
    </row>
    <row r="284" spans="1:17" x14ac:dyDescent="0.25">
      <c r="A284" s="2" t="s">
        <v>398</v>
      </c>
      <c r="B284" s="5">
        <v>46305</v>
      </c>
      <c r="C284" s="2" t="s">
        <v>389</v>
      </c>
      <c r="D284" s="2" t="s">
        <v>38</v>
      </c>
      <c r="E284" s="2">
        <v>5203</v>
      </c>
      <c r="F284" s="2" t="s">
        <v>99</v>
      </c>
      <c r="G284" s="2" t="s">
        <v>100</v>
      </c>
      <c r="H284" s="2" t="s">
        <v>101</v>
      </c>
      <c r="I284" s="2" t="s">
        <v>33</v>
      </c>
      <c r="J284" s="2" t="s">
        <v>34</v>
      </c>
      <c r="K284" s="3">
        <v>26190</v>
      </c>
      <c r="L284" s="4">
        <v>0.05</v>
      </c>
      <c r="M284" s="3">
        <v>1310</v>
      </c>
      <c r="N284" s="3">
        <v>27500</v>
      </c>
      <c r="O284" s="2" t="s">
        <v>25</v>
      </c>
      <c r="P284" s="2" t="s">
        <v>54</v>
      </c>
      <c r="Q284" s="2" t="s">
        <v>36</v>
      </c>
    </row>
    <row r="285" spans="1:17" x14ac:dyDescent="0.25">
      <c r="A285" s="2" t="s">
        <v>399</v>
      </c>
      <c r="B285" s="5">
        <v>46306</v>
      </c>
      <c r="C285" s="2" t="s">
        <v>389</v>
      </c>
      <c r="D285" s="2" t="s">
        <v>29</v>
      </c>
      <c r="E285" s="2">
        <v>5104</v>
      </c>
      <c r="F285" s="2" t="s">
        <v>112</v>
      </c>
      <c r="G285" s="2" t="s">
        <v>113</v>
      </c>
      <c r="H285" s="2" t="s">
        <v>114</v>
      </c>
      <c r="I285" s="2" t="s">
        <v>33</v>
      </c>
      <c r="J285" s="2" t="s">
        <v>24</v>
      </c>
      <c r="K285" s="3">
        <v>65000</v>
      </c>
      <c r="L285" s="4">
        <v>0.18</v>
      </c>
      <c r="M285" s="3">
        <v>11700</v>
      </c>
      <c r="N285" s="3">
        <v>76700</v>
      </c>
      <c r="O285" s="2" t="s">
        <v>48</v>
      </c>
      <c r="P285" s="2" t="s">
        <v>54</v>
      </c>
      <c r="Q285" s="2" t="s">
        <v>36</v>
      </c>
    </row>
    <row r="286" spans="1:17" x14ac:dyDescent="0.25">
      <c r="A286" s="2" t="s">
        <v>400</v>
      </c>
      <c r="B286" s="5">
        <v>46307</v>
      </c>
      <c r="C286" s="2" t="s">
        <v>389</v>
      </c>
      <c r="D286" s="2" t="s">
        <v>60</v>
      </c>
      <c r="E286" s="2">
        <v>5501</v>
      </c>
      <c r="F286" s="2" t="s">
        <v>61</v>
      </c>
      <c r="G286" s="2" t="s">
        <v>117</v>
      </c>
      <c r="H286" s="2" t="s">
        <v>118</v>
      </c>
      <c r="I286" s="2" t="s">
        <v>33</v>
      </c>
      <c r="J286" s="2" t="s">
        <v>34</v>
      </c>
      <c r="K286" s="3">
        <v>74160</v>
      </c>
      <c r="L286" s="4">
        <v>0.18</v>
      </c>
      <c r="M286" s="3">
        <v>13349</v>
      </c>
      <c r="N286" s="3">
        <v>87509</v>
      </c>
      <c r="O286" s="2" t="s">
        <v>25</v>
      </c>
      <c r="P286" s="2" t="s">
        <v>35</v>
      </c>
      <c r="Q286" s="2" t="s">
        <v>27</v>
      </c>
    </row>
    <row r="287" spans="1:17" x14ac:dyDescent="0.25">
      <c r="A287" s="2" t="s">
        <v>401</v>
      </c>
      <c r="B287" s="5">
        <v>46308</v>
      </c>
      <c r="C287" s="2" t="s">
        <v>389</v>
      </c>
      <c r="D287" s="2" t="s">
        <v>19</v>
      </c>
      <c r="E287" s="2">
        <v>4001</v>
      </c>
      <c r="F287" s="2" t="s">
        <v>20</v>
      </c>
      <c r="G287" s="2" t="s">
        <v>128</v>
      </c>
      <c r="H287" s="2" t="s">
        <v>129</v>
      </c>
      <c r="I287" s="2" t="s">
        <v>23</v>
      </c>
      <c r="J287" s="2" t="s">
        <v>24</v>
      </c>
      <c r="K287" s="3">
        <v>318000</v>
      </c>
      <c r="L287" s="4">
        <v>0.18</v>
      </c>
      <c r="M287" s="3">
        <v>57240</v>
      </c>
      <c r="N287" s="3">
        <v>375240</v>
      </c>
      <c r="O287" s="2" t="s">
        <v>25</v>
      </c>
      <c r="P287" s="2" t="s">
        <v>26</v>
      </c>
      <c r="Q287" s="2" t="s">
        <v>27</v>
      </c>
    </row>
    <row r="288" spans="1:17" x14ac:dyDescent="0.25">
      <c r="A288" s="2" t="s">
        <v>402</v>
      </c>
      <c r="B288" s="5">
        <v>46309</v>
      </c>
      <c r="C288" s="2" t="s">
        <v>389</v>
      </c>
      <c r="D288" s="2" t="s">
        <v>50</v>
      </c>
      <c r="E288" s="2">
        <v>5403</v>
      </c>
      <c r="F288" s="2" t="s">
        <v>124</v>
      </c>
      <c r="G288" s="2" t="s">
        <v>125</v>
      </c>
      <c r="H288" s="2" t="s">
        <v>126</v>
      </c>
      <c r="I288" s="2" t="s">
        <v>33</v>
      </c>
      <c r="J288" s="2" t="s">
        <v>24</v>
      </c>
      <c r="K288" s="3">
        <v>51230</v>
      </c>
      <c r="L288" s="4">
        <v>0.18</v>
      </c>
      <c r="M288" s="3">
        <v>9221</v>
      </c>
      <c r="N288" s="3">
        <v>60451</v>
      </c>
      <c r="O288" s="2" t="s">
        <v>25</v>
      </c>
      <c r="P288" s="2" t="s">
        <v>54</v>
      </c>
      <c r="Q288" s="2" t="s">
        <v>27</v>
      </c>
    </row>
    <row r="289" spans="1:17" x14ac:dyDescent="0.25">
      <c r="A289" s="2" t="s">
        <v>403</v>
      </c>
      <c r="B289" s="5">
        <v>46310</v>
      </c>
      <c r="C289" s="2" t="s">
        <v>389</v>
      </c>
      <c r="D289" s="2" t="s">
        <v>19</v>
      </c>
      <c r="E289" s="2">
        <v>4003</v>
      </c>
      <c r="F289" s="2" t="s">
        <v>20</v>
      </c>
      <c r="G289" s="2" t="s">
        <v>79</v>
      </c>
      <c r="H289" s="2" t="s">
        <v>80</v>
      </c>
      <c r="I289" s="2" t="s">
        <v>23</v>
      </c>
      <c r="J289" s="2" t="s">
        <v>24</v>
      </c>
      <c r="K289" s="3">
        <v>196000</v>
      </c>
      <c r="L289" s="4">
        <v>0.18</v>
      </c>
      <c r="M289" s="3">
        <v>35280</v>
      </c>
      <c r="N289" s="3">
        <v>231280</v>
      </c>
      <c r="O289" s="2" t="s">
        <v>48</v>
      </c>
      <c r="P289" s="2" t="s">
        <v>26</v>
      </c>
      <c r="Q289" s="2" t="s">
        <v>27</v>
      </c>
    </row>
    <row r="290" spans="1:17" x14ac:dyDescent="0.25">
      <c r="A290" s="2" t="s">
        <v>404</v>
      </c>
      <c r="B290" s="5">
        <v>46311</v>
      </c>
      <c r="C290" s="2" t="s">
        <v>389</v>
      </c>
      <c r="D290" s="2" t="s">
        <v>29</v>
      </c>
      <c r="E290" s="2">
        <v>5105</v>
      </c>
      <c r="F290" s="2" t="s">
        <v>135</v>
      </c>
      <c r="G290" s="2" t="s">
        <v>136</v>
      </c>
      <c r="H290" s="2" t="s">
        <v>137</v>
      </c>
      <c r="I290" s="2" t="s">
        <v>33</v>
      </c>
      <c r="J290" s="2" t="s">
        <v>24</v>
      </c>
      <c r="K290" s="3">
        <v>44000</v>
      </c>
      <c r="L290" s="4">
        <v>0.18</v>
      </c>
      <c r="M290" s="3">
        <v>7920</v>
      </c>
      <c r="N290" s="3">
        <v>51920</v>
      </c>
      <c r="O290" s="2" t="s">
        <v>25</v>
      </c>
      <c r="P290" s="2" t="s">
        <v>42</v>
      </c>
      <c r="Q290" s="2" t="s">
        <v>36</v>
      </c>
    </row>
    <row r="291" spans="1:17" x14ac:dyDescent="0.25">
      <c r="A291" s="2" t="s">
        <v>405</v>
      </c>
      <c r="B291" s="5">
        <v>46312</v>
      </c>
      <c r="C291" s="2" t="s">
        <v>389</v>
      </c>
      <c r="D291" s="2" t="s">
        <v>29</v>
      </c>
      <c r="E291" s="2">
        <v>5102</v>
      </c>
      <c r="F291" s="2" t="s">
        <v>30</v>
      </c>
      <c r="G291" s="2" t="s">
        <v>31</v>
      </c>
      <c r="H291" s="2" t="s">
        <v>32</v>
      </c>
      <c r="I291" s="2" t="s">
        <v>33</v>
      </c>
      <c r="J291" s="2" t="s">
        <v>34</v>
      </c>
      <c r="K291" s="3">
        <v>40950</v>
      </c>
      <c r="L291" s="4">
        <v>0.18</v>
      </c>
      <c r="M291" s="3">
        <v>7371</v>
      </c>
      <c r="N291" s="3">
        <v>48321</v>
      </c>
      <c r="O291" s="2" t="s">
        <v>25</v>
      </c>
      <c r="P291" s="2" t="s">
        <v>35</v>
      </c>
      <c r="Q291" s="2" t="s">
        <v>36</v>
      </c>
    </row>
    <row r="292" spans="1:17" x14ac:dyDescent="0.25">
      <c r="A292" s="2" t="s">
        <v>406</v>
      </c>
      <c r="B292" s="5">
        <v>46313</v>
      </c>
      <c r="C292" s="2" t="s">
        <v>389</v>
      </c>
      <c r="D292" s="2" t="s">
        <v>19</v>
      </c>
      <c r="E292" s="2">
        <v>4003</v>
      </c>
      <c r="F292" s="2" t="s">
        <v>20</v>
      </c>
      <c r="G292" s="2" t="s">
        <v>92</v>
      </c>
      <c r="H292" s="2" t="s">
        <v>93</v>
      </c>
      <c r="I292" s="2" t="s">
        <v>23</v>
      </c>
      <c r="J292" s="2" t="s">
        <v>24</v>
      </c>
      <c r="K292" s="3">
        <v>89300</v>
      </c>
      <c r="L292" s="4">
        <v>0.18</v>
      </c>
      <c r="M292" s="3">
        <v>16074</v>
      </c>
      <c r="N292" s="3">
        <v>105374</v>
      </c>
      <c r="O292" s="2" t="s">
        <v>25</v>
      </c>
      <c r="P292" s="2" t="s">
        <v>35</v>
      </c>
      <c r="Q292" s="2" t="s">
        <v>36</v>
      </c>
    </row>
    <row r="293" spans="1:17" x14ac:dyDescent="0.25">
      <c r="A293" s="2" t="s">
        <v>407</v>
      </c>
      <c r="B293" s="5">
        <v>46314</v>
      </c>
      <c r="C293" s="2" t="s">
        <v>389</v>
      </c>
      <c r="D293" s="2" t="s">
        <v>44</v>
      </c>
      <c r="E293" s="2">
        <v>5301</v>
      </c>
      <c r="F293" s="2" t="s">
        <v>45</v>
      </c>
      <c r="G293" s="2" t="s">
        <v>46</v>
      </c>
      <c r="H293" s="2" t="s">
        <v>47</v>
      </c>
      <c r="I293" s="2" t="s">
        <v>33</v>
      </c>
      <c r="J293" s="2" t="s">
        <v>24</v>
      </c>
      <c r="K293" s="3">
        <v>29100</v>
      </c>
      <c r="L293" s="4">
        <v>0.18</v>
      </c>
      <c r="M293" s="3">
        <v>5238</v>
      </c>
      <c r="N293" s="3">
        <v>34338</v>
      </c>
      <c r="O293" s="2" t="s">
        <v>48</v>
      </c>
      <c r="P293" s="2" t="s">
        <v>26</v>
      </c>
      <c r="Q293" s="2" t="s">
        <v>36</v>
      </c>
    </row>
    <row r="294" spans="1:17" x14ac:dyDescent="0.25">
      <c r="A294" s="2" t="s">
        <v>408</v>
      </c>
      <c r="B294" s="5">
        <v>46315</v>
      </c>
      <c r="C294" s="2" t="s">
        <v>389</v>
      </c>
      <c r="D294" s="2" t="s">
        <v>50</v>
      </c>
      <c r="E294" s="2">
        <v>5401</v>
      </c>
      <c r="F294" s="2" t="s">
        <v>51</v>
      </c>
      <c r="G294" s="2" t="s">
        <v>52</v>
      </c>
      <c r="H294" s="2" t="s">
        <v>53</v>
      </c>
      <c r="I294" s="2" t="s">
        <v>33</v>
      </c>
      <c r="J294" s="2" t="s">
        <v>24</v>
      </c>
      <c r="K294" s="3">
        <v>60000</v>
      </c>
      <c r="L294" s="4">
        <v>0.18</v>
      </c>
      <c r="M294" s="3">
        <v>10800</v>
      </c>
      <c r="N294" s="3">
        <v>70800</v>
      </c>
      <c r="O294" s="2" t="s">
        <v>25</v>
      </c>
      <c r="P294" s="2" t="s">
        <v>54</v>
      </c>
      <c r="Q294" s="2" t="s">
        <v>27</v>
      </c>
    </row>
    <row r="295" spans="1:17" x14ac:dyDescent="0.25">
      <c r="A295" s="2" t="s">
        <v>409</v>
      </c>
      <c r="B295" s="5">
        <v>46316</v>
      </c>
      <c r="C295" s="2" t="s">
        <v>389</v>
      </c>
      <c r="D295" s="2" t="s">
        <v>60</v>
      </c>
      <c r="E295" s="2">
        <v>5501</v>
      </c>
      <c r="F295" s="2" t="s">
        <v>61</v>
      </c>
      <c r="G295" s="2" t="s">
        <v>62</v>
      </c>
      <c r="H295" s="2" t="s">
        <v>63</v>
      </c>
      <c r="I295" s="2" t="s">
        <v>33</v>
      </c>
      <c r="J295" s="2" t="s">
        <v>34</v>
      </c>
      <c r="K295" s="3">
        <v>74160</v>
      </c>
      <c r="L295" s="4">
        <v>0.18</v>
      </c>
      <c r="M295" s="3">
        <v>13349</v>
      </c>
      <c r="N295" s="3">
        <v>87509</v>
      </c>
      <c r="O295" s="2" t="s">
        <v>25</v>
      </c>
      <c r="P295" s="2" t="s">
        <v>42</v>
      </c>
      <c r="Q295" s="2" t="s">
        <v>27</v>
      </c>
    </row>
    <row r="296" spans="1:17" x14ac:dyDescent="0.25">
      <c r="A296" s="2" t="s">
        <v>410</v>
      </c>
      <c r="B296" s="5">
        <v>46317</v>
      </c>
      <c r="C296" s="2" t="s">
        <v>389</v>
      </c>
      <c r="D296" s="2" t="s">
        <v>19</v>
      </c>
      <c r="E296" s="2">
        <v>4002</v>
      </c>
      <c r="F296" s="2" t="s">
        <v>20</v>
      </c>
      <c r="G296" s="2" t="s">
        <v>109</v>
      </c>
      <c r="H296" s="2" t="s">
        <v>110</v>
      </c>
      <c r="I296" s="2" t="s">
        <v>23</v>
      </c>
      <c r="J296" s="2" t="s">
        <v>24</v>
      </c>
      <c r="K296" s="3">
        <v>222600</v>
      </c>
      <c r="L296" s="4">
        <v>0.18</v>
      </c>
      <c r="M296" s="3">
        <v>40068</v>
      </c>
      <c r="N296" s="3">
        <v>262668</v>
      </c>
      <c r="O296" s="2" t="s">
        <v>25</v>
      </c>
      <c r="P296" s="2" t="s">
        <v>42</v>
      </c>
      <c r="Q296" s="2" t="s">
        <v>27</v>
      </c>
    </row>
    <row r="297" spans="1:17" x14ac:dyDescent="0.25">
      <c r="A297" s="2" t="s">
        <v>411</v>
      </c>
      <c r="B297" s="5">
        <v>46318</v>
      </c>
      <c r="C297" s="2" t="s">
        <v>389</v>
      </c>
      <c r="D297" s="2" t="s">
        <v>19</v>
      </c>
      <c r="E297" s="2">
        <v>4003</v>
      </c>
      <c r="F297" s="2" t="s">
        <v>20</v>
      </c>
      <c r="G297" s="2" t="s">
        <v>79</v>
      </c>
      <c r="H297" s="2" t="s">
        <v>80</v>
      </c>
      <c r="I297" s="2" t="s">
        <v>23</v>
      </c>
      <c r="J297" s="2" t="s">
        <v>24</v>
      </c>
      <c r="K297" s="3">
        <v>190750</v>
      </c>
      <c r="L297" s="4">
        <v>0.18</v>
      </c>
      <c r="M297" s="3">
        <v>34335</v>
      </c>
      <c r="N297" s="3">
        <v>225085</v>
      </c>
      <c r="O297" s="2" t="s">
        <v>48</v>
      </c>
      <c r="P297" s="2" t="s">
        <v>26</v>
      </c>
      <c r="Q297" s="2" t="s">
        <v>27</v>
      </c>
    </row>
    <row r="298" spans="1:17" x14ac:dyDescent="0.25">
      <c r="A298" s="2" t="s">
        <v>412</v>
      </c>
      <c r="B298" s="5">
        <v>46319</v>
      </c>
      <c r="C298" s="2" t="s">
        <v>389</v>
      </c>
      <c r="D298" s="2" t="s">
        <v>44</v>
      </c>
      <c r="E298" s="2">
        <v>5302</v>
      </c>
      <c r="F298" s="2" t="s">
        <v>82</v>
      </c>
      <c r="G298" s="2" t="s">
        <v>83</v>
      </c>
      <c r="H298" s="2" t="s">
        <v>84</v>
      </c>
      <c r="I298" s="2" t="s">
        <v>33</v>
      </c>
      <c r="J298" s="2" t="s">
        <v>34</v>
      </c>
      <c r="K298" s="3">
        <v>24640</v>
      </c>
      <c r="L298" s="4">
        <v>0.18</v>
      </c>
      <c r="M298" s="3">
        <v>4435</v>
      </c>
      <c r="N298" s="3">
        <v>29075</v>
      </c>
      <c r="O298" s="2" t="s">
        <v>25</v>
      </c>
      <c r="P298" s="2" t="s">
        <v>35</v>
      </c>
      <c r="Q298" s="2" t="s">
        <v>36</v>
      </c>
    </row>
    <row r="299" spans="1:17" x14ac:dyDescent="0.25">
      <c r="A299" s="2" t="s">
        <v>413</v>
      </c>
      <c r="B299" s="5">
        <v>46320</v>
      </c>
      <c r="C299" s="2" t="s">
        <v>389</v>
      </c>
      <c r="D299" s="2" t="s">
        <v>60</v>
      </c>
      <c r="E299" s="2">
        <v>5502</v>
      </c>
      <c r="F299" s="2" t="s">
        <v>87</v>
      </c>
      <c r="G299" s="2" t="s">
        <v>88</v>
      </c>
      <c r="H299" s="2" t="s">
        <v>89</v>
      </c>
      <c r="I299" s="2" t="s">
        <v>33</v>
      </c>
      <c r="J299" s="2" t="s">
        <v>24</v>
      </c>
      <c r="K299" s="3">
        <v>132000</v>
      </c>
      <c r="L299" s="4">
        <v>0.18</v>
      </c>
      <c r="M299" s="3">
        <v>23760</v>
      </c>
      <c r="N299" s="3">
        <v>155760</v>
      </c>
      <c r="O299" s="2" t="s">
        <v>25</v>
      </c>
      <c r="P299" s="2" t="s">
        <v>54</v>
      </c>
      <c r="Q299" s="2" t="s">
        <v>27</v>
      </c>
    </row>
    <row r="300" spans="1:17" x14ac:dyDescent="0.25">
      <c r="A300" s="2" t="s">
        <v>414</v>
      </c>
      <c r="B300" s="5">
        <v>46321</v>
      </c>
      <c r="C300" s="2" t="s">
        <v>389</v>
      </c>
      <c r="D300" s="2" t="s">
        <v>50</v>
      </c>
      <c r="E300" s="2">
        <v>5402</v>
      </c>
      <c r="F300" s="2" t="s">
        <v>95</v>
      </c>
      <c r="G300" s="2" t="s">
        <v>96</v>
      </c>
      <c r="H300" s="2" t="s">
        <v>97</v>
      </c>
      <c r="I300" s="2" t="s">
        <v>33</v>
      </c>
      <c r="J300" s="2" t="s">
        <v>24</v>
      </c>
      <c r="K300" s="3">
        <v>50050</v>
      </c>
      <c r="L300" s="4">
        <v>0.18</v>
      </c>
      <c r="M300" s="3">
        <v>9009</v>
      </c>
      <c r="N300" s="3">
        <v>59059</v>
      </c>
      <c r="O300" s="2" t="s">
        <v>25</v>
      </c>
      <c r="P300" s="2" t="s">
        <v>42</v>
      </c>
      <c r="Q300" s="2" t="s">
        <v>27</v>
      </c>
    </row>
    <row r="301" spans="1:17" x14ac:dyDescent="0.25">
      <c r="A301" s="2" t="s">
        <v>415</v>
      </c>
      <c r="B301" s="5">
        <v>46322</v>
      </c>
      <c r="C301" s="2" t="s">
        <v>389</v>
      </c>
      <c r="D301" s="2" t="s">
        <v>38</v>
      </c>
      <c r="E301" s="2">
        <v>5203</v>
      </c>
      <c r="F301" s="2" t="s">
        <v>99</v>
      </c>
      <c r="G301" s="2" t="s">
        <v>100</v>
      </c>
      <c r="H301" s="2" t="s">
        <v>101</v>
      </c>
      <c r="I301" s="2" t="s">
        <v>33</v>
      </c>
      <c r="J301" s="2" t="s">
        <v>34</v>
      </c>
      <c r="K301" s="3">
        <v>25380</v>
      </c>
      <c r="L301" s="4">
        <v>0.05</v>
      </c>
      <c r="M301" s="3">
        <v>1269</v>
      </c>
      <c r="N301" s="3">
        <v>26649</v>
      </c>
      <c r="O301" s="2" t="s">
        <v>48</v>
      </c>
      <c r="P301" s="2" t="s">
        <v>54</v>
      </c>
      <c r="Q301" s="2" t="s">
        <v>36</v>
      </c>
    </row>
  </sheetData>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Month vs Department</vt:lpstr>
      <vt:lpstr>Department vs money types</vt:lpstr>
      <vt:lpstr>Department vs payment method</vt:lpstr>
      <vt:lpstr>Department vs Payment Status</vt:lpstr>
      <vt:lpstr>Number of Vendor or Client</vt:lpstr>
      <vt:lpstr>Department vs Amount</vt:lpstr>
      <vt:lpstr>Department vs Region</vt:lpstr>
      <vt:lpstr>Department vs Tax Amount</vt:lpstr>
      <vt:lpstr>Payment Method vs Net Amount</vt:lpstr>
      <vt:lpstr>Dashboard</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roshan kumar</dc:creator>
  <cp:lastModifiedBy>roshan kumar</cp:lastModifiedBy>
  <dcterms:created xsi:type="dcterms:W3CDTF">2026-07-18T06:11:22Z</dcterms:created>
  <dcterms:modified xsi:type="dcterms:W3CDTF">2026-07-31T13:08:07Z</dcterms:modified>
</cp:coreProperties>
</file>