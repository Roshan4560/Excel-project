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han\OneDrive\Desktop\Excel\fiffth_project\"/>
    </mc:Choice>
  </mc:AlternateContent>
  <xr:revisionPtr revIDLastSave="0" documentId="8_{097B3432-8C54-40D5-8F2E-00E223272CB3}" xr6:coauthVersionLast="47" xr6:coauthVersionMax="47" xr10:uidLastSave="{00000000-0000-0000-0000-000000000000}"/>
  <bookViews>
    <workbookView xWindow="-120" yWindow="-120" windowWidth="24240" windowHeight="13020" xr2:uid="{6EC2F76B-2C53-48B6-A36E-C573F824E017}"/>
  </bookViews>
  <sheets>
    <sheet name="rawdata" sheetId="2" r:id="rId1"/>
  </sheets>
  <externalReferences>
    <externalReference r:id="rId2"/>
  </externalReferences>
  <definedNames>
    <definedName name="ExternalData_1" localSheetId="0" hidden="1">rawdata!$A$1:$P$705</definedName>
    <definedName name="ExternalData_1" localSheetId="0" hidden="1">rawdata!$A$1:$P$705</definedName>
    <definedName name="KPI_ProfitMargin">#REF!</definedName>
    <definedName name="KPI_TotalCOGS">#REF!</definedName>
    <definedName name="KPI_TotalDiscounts">#REF!</definedName>
    <definedName name="KPI_TotalOrders">#REF!</definedName>
    <definedName name="KPI_TotalProfit">#REF!</definedName>
    <definedName name="KPI_TotalS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S3" i="2"/>
  <c r="L4" i="2"/>
  <c r="S4" i="2"/>
  <c r="S6" i="2" s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1EE6C2-C833-4F6E-A99B-4CA8B336E677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<sst xmlns="http://schemas.openxmlformats.org/spreadsheetml/2006/main" count="3542" uniqueCount="52">
  <si>
    <t>February</t>
  </si>
  <si>
    <t>High</t>
  </si>
  <si>
    <t>VTT</t>
  </si>
  <si>
    <t>USA</t>
  </si>
  <si>
    <t>Channel Partners</t>
  </si>
  <si>
    <t>January</t>
  </si>
  <si>
    <t>Paseo</t>
  </si>
  <si>
    <t>CANADA</t>
  </si>
  <si>
    <t>Government</t>
  </si>
  <si>
    <t>December</t>
  </si>
  <si>
    <t>Montana</t>
  </si>
  <si>
    <t>MEXICO</t>
  </si>
  <si>
    <t>November</t>
  </si>
  <si>
    <t>Amarilla</t>
  </si>
  <si>
    <t>Small Business</t>
  </si>
  <si>
    <t>October</t>
  </si>
  <si>
    <t>FRANCE</t>
  </si>
  <si>
    <t>September</t>
  </si>
  <si>
    <t>August</t>
  </si>
  <si>
    <t>GERMANY</t>
  </si>
  <si>
    <t>Enterprise</t>
  </si>
  <si>
    <t>July</t>
  </si>
  <si>
    <t>June</t>
  </si>
  <si>
    <t>Midmarket</t>
  </si>
  <si>
    <t>May</t>
  </si>
  <si>
    <t>April</t>
  </si>
  <si>
    <t>March</t>
  </si>
  <si>
    <t>Velo</t>
  </si>
  <si>
    <t>Carretera</t>
  </si>
  <si>
    <t>Medium</t>
  </si>
  <si>
    <t>Low</t>
  </si>
  <si>
    <t>Profit Margin</t>
  </si>
  <si>
    <t xml:space="preserve">Total </t>
  </si>
  <si>
    <t>Total Profit</t>
  </si>
  <si>
    <t>Total Sales</t>
  </si>
  <si>
    <t>Column2</t>
  </si>
  <si>
    <t>Column1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</si>
  <si>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</si>
  <si>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</si>
  <si>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</si>
  <si>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</si>
  <si>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</si>
  <si>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</si>
  <si>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</si>
  <si>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Discounts</t>
  </si>
  <si>
    <t>Gross Sales</t>
  </si>
  <si>
    <t>Sale Price</t>
  </si>
  <si>
    <t>Manufacturing Price</t>
  </si>
  <si>
    <t>Discount Band</t>
  </si>
  <si>
    <t>Product</t>
  </si>
  <si>
    <t>Country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</si>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</sst>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" fontId="0" fillId="0" borderId="0" xfId="0" applyNumberFormat="1"/>
    <xf numFmtId="14" fontId="0" fillId="0" borderId="0" xfId="0" applyNumberFormat="1"/>
    <xf numFmtId="10" fontId="0" fillId="0" borderId="0" xfId="1" applyNumberFormat="1" applyFont="1"/>
    <xf numFmtId="0" fontId="0" fillId="0" borderId="0" xfId="0" applyAlignment="1">
      <alignment vertical="center"/>
    </xf>
    <xf numFmtId="9" fontId="0" fillId="0" borderId="0" xfId="1" applyFont="1" applyAlignment="1">
      <alignment vertical="center"/>
    </xf>
    <xf numFmtId="164" fontId="0" fillId="0" borderId="0" xfId="0" applyNumberFormat="1"/>
    <xf numFmtId="2" fontId="0" fillId="0" borderId="0" xfId="0" applyNumberFormat="1" applyAlignment="1">
      <alignment vertical="center"/>
    </xf>
  </cellXfs>
  <cellStyles count="2">
    <cellStyle name="Normal" xfId="0" builtinId="0"/>
    <cellStyle name="Percent" xfId="1" builtinId="5"/>
  </cellStyles>
  <dxfs count="10"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19" formatCode="dd/mm/yyyy"/>
    </dxf>
    <dxf>
      <numFmt numFmtId="14" formatCode="0.00%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shan\Downloads\Financial%20Data_Roshan%200005.xlsx" TargetMode="External"/><Relationship Id="rId1" Type="http://schemas.openxmlformats.org/officeDocument/2006/relationships/externalLinkPath" Target="file:///C:\Users\roshan\Downloads\Financial%20Data_Roshan%2000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ries Profit"/>
      <sheetName val="Countries Segment"/>
      <sheetName val="Product Segment"/>
      <sheetName val="Manufacturing Product In Year"/>
      <sheetName val="Profit in Month"/>
      <sheetName val="Countries Product"/>
      <sheetName val="Discount Band vs Product"/>
      <sheetName val="Dashboard"/>
      <sheetName val="Data"/>
      <sheetName val="Pivot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3F519A-22D4-4C53-B233-A73FDA40F32B}" autoFormatId="16" applyNumberFormats="0" applyBorderFormats="0" applyFontFormats="0" applyPatternFormats="0" applyAlignmentFormats="0" applyWidthHeightFormats="0">
  <queryTableRefresh nextId="19">
    <queryTableFields count="16">
      <queryTableField id="1" name="Segment" tableColumnId="1"/>
      <queryTableField id="2" name="Country" tableColumnId="2"/>
      <queryTableField id="3" name="Product" tableColumnId="3"/>
      <queryTableField id="4" name="Discount Band" tableColumnId="4"/>
      <queryTableField id="5" name="Manufacturing Price" tableColumnId="5"/>
      <queryTableField id="6" name="Sale Price" tableColumnId="6"/>
      <queryTableField id="7" name="Gross Sales" tableColumnId="7"/>
      <queryTableField id="8" name="Discounts" tableColumnId="8"/>
      <queryTableField id="9" name=" Sales" tableColumnId="9"/>
      <queryTableField id="10" name="COGS" tableColumnId="10"/>
      <queryTableField id="11" name="Profit" tableColumnId="11"/>
      <queryTableField id="18" dataBound="0" tableColumnId="18"/>
      <queryTableField id="12" name="Date" tableColumnId="12"/>
      <queryTableField id="13" name="Month Number" tableColumnId="13"/>
      <queryTableField id="14" name="Month Name" tableColumnId="14"/>
      <queryTableField id="15" name="Year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7C345-716C-464C-BEBD-556EB284367C}" name="Table1_14" displayName="Table1_14" ref="A1:P705" tableType="queryTable" totalsRowShown="0">
  <autoFilter ref="A1:P705" xr:uid="{22C3AE0F-21CE-43C1-ABEC-D0A33FD6D9A7}"/>
  <tableColumns count="16">
    <tableColumn id="1" xr3:uid="{483FA673-531D-4145-AA90-4329D8771AB2}" uniqueName="1" name="Segment" queryTableFieldId="1" dataDxfId="9"/>
    <tableColumn id="2" xr3:uid="{C6C05DA5-EF73-4D13-AADF-108A719864D0}" uniqueName="2" name="Country" queryTableFieldId="2" dataDxfId="8"/>
    <tableColumn id="3" xr3:uid="{6B05B2BB-4AC0-4413-A477-9ED92C16866C}" uniqueName="3" name="Product" queryTableFieldId="3" dataDxfId="7"/>
    <tableColumn id="4" xr3:uid="{69412CB3-7A58-452E-991F-C90F68B4D6C3}" uniqueName="4" name="Discount Band" queryTableFieldId="4" dataDxfId="6"/>
    <tableColumn id="5" xr3:uid="{68D35E16-99D3-4544-9334-E72A6EDFAD99}" uniqueName="5" name="Manufacturing Price" queryTableFieldId="5"/>
    <tableColumn id="6" xr3:uid="{1F8713DC-8253-4E4B-AD6B-A7F960F5BB38}" uniqueName="6" name="Sale Price" queryTableFieldId="6"/>
    <tableColumn id="7" xr3:uid="{6FE74B7F-1A49-46AE-BF0F-1D677140B43F}" uniqueName="7" name="Gross Sales" queryTableFieldId="7"/>
    <tableColumn id="8" xr3:uid="{D583F883-0E12-4FE6-9AB8-689DF8E48BC4}" uniqueName="8" name="Discounts" queryTableFieldId="8"/>
    <tableColumn id="9" xr3:uid="{D902AFB6-8C6B-423F-BB93-92E76FDF99EE}" uniqueName="9" name=" Sales" queryTableFieldId="9" dataDxfId="5"/>
    <tableColumn id="10" xr3:uid="{ADBA6C9F-5221-455F-8E2B-5382F43A3EAC}" uniqueName="10" name="COGS" queryTableFieldId="10"/>
    <tableColumn id="11" xr3:uid="{8846702D-B18C-464B-85B0-FEB1618E6368}" uniqueName="11" name="Profit" queryTableFieldId="11" dataDxfId="4"/>
    <tableColumn id="18" xr3:uid="{79AABB8F-526D-40A4-9CE4-44EE35A4D047}" uniqueName="18" name="Profit Margin" queryTableFieldId="18" dataDxfId="3" dataCellStyle="Percent">
      <calculatedColumnFormula>(K2/I2)</calculatedColumnFormula>
    </tableColumn>
    <tableColumn id="12" xr3:uid="{C1711AF3-95E4-483E-B28F-3B4C1E986DF7}" uniqueName="12" name="Date" queryTableFieldId="12" dataDxfId="2"/>
    <tableColumn id="13" xr3:uid="{F3E0D075-3E6D-4D5B-B870-4D1FDF7A9C47}" uniqueName="13" name="Month Number" queryTableFieldId="13"/>
    <tableColumn id="14" xr3:uid="{114FA065-B825-4D78-9553-5A6CED023BA2}" uniqueName="14" name="Month Name" queryTableFieldId="14" dataDxfId="1"/>
    <tableColumn id="15" xr3:uid="{E665C81D-1FD5-4ADE-9B55-1A262C720416}" uniqueName="15" name="Year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F69A21-ABB8-4600-A948-BCE22F71CA05}" name="Table15" displayName="Table15" ref="R2:S6" totalsRowShown="0">
  <autoFilter ref="R2:S6" xr:uid="{A8F49EE8-1286-42D4-8A26-78A059C1BBA9}"/>
  <tableColumns count="2">
    <tableColumn id="1" xr3:uid="{DFB49952-98A3-4FD1-83BD-5E7437EDAAC1}" name="Column1" dataDxfId="0"/>
    <tableColumn id="2" xr3:uid="{34449751-33CA-4CCC-9502-D74129D8FDC4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3DBE8C-25AE-4CD8-A784-99F05F2C9FBF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42F0-DD81-4C32-AA1F-34C9ADFED411}">
  <dimension ref="A1:T705"/>
  <sheetViews>
    <sheetView tabSelected="1" workbookViewId="0">
      <selection activeCell="N20" sqref="N20"/>
    </sheetView>
  </sheetViews>
  <sheetFormatPr defaultRowHeight="15" x14ac:dyDescent="0.25"/>
  <cols>
    <col min="1" max="1" width="19.7109375" customWidth="1"/>
    <col min="2" max="2" width="13.42578125" customWidth="1"/>
    <col min="3" max="3" width="12.5703125" customWidth="1"/>
    <col min="4" max="4" width="16" bestFit="1" customWidth="1"/>
    <col min="5" max="5" width="21.42578125" bestFit="1" customWidth="1"/>
    <col min="6" max="6" width="13.42578125" customWidth="1"/>
    <col min="7" max="7" width="13.7109375" customWidth="1"/>
    <col min="8" max="8" width="13.28515625" bestFit="1" customWidth="1"/>
    <col min="9" max="9" width="13.42578125" bestFit="1" customWidth="1"/>
    <col min="10" max="10" width="11" bestFit="1" customWidth="1"/>
    <col min="11" max="11" width="12.85546875" style="1" customWidth="1"/>
    <col min="12" max="12" width="15" style="1" bestFit="1" customWidth="1"/>
    <col min="13" max="13" width="14.7109375" customWidth="1"/>
    <col min="14" max="14" width="18.7109375" customWidth="1"/>
    <col min="15" max="15" width="17.140625" bestFit="1" customWidth="1"/>
    <col min="16" max="16" width="15" bestFit="1" customWidth="1"/>
    <col min="17" max="17" width="7.28515625" bestFit="1" customWidth="1"/>
    <col min="18" max="18" width="13.28515625" customWidth="1"/>
    <col min="19" max="19" width="33.28515625" customWidth="1"/>
  </cols>
  <sheetData>
    <row r="1" spans="1:20" x14ac:dyDescent="0.25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s="1" t="s">
        <v>43</v>
      </c>
      <c r="J1" t="s">
        <v>42</v>
      </c>
      <c r="K1" s="1" t="s">
        <v>41</v>
      </c>
      <c r="L1" s="1" t="s">
        <v>31</v>
      </c>
      <c r="M1" t="s">
        <v>40</v>
      </c>
      <c r="N1" t="s">
        <v>39</v>
      </c>
      <c r="O1" t="s">
        <v>38</v>
      </c>
      <c r="P1" t="s">
        <v>37</v>
      </c>
    </row>
    <row r="2" spans="1:20" x14ac:dyDescent="0.25">
      <c r="A2" t="s">
        <v>8</v>
      </c>
      <c r="B2" t="s">
        <v>7</v>
      </c>
      <c r="C2" t="s">
        <v>28</v>
      </c>
      <c r="D2" t="s">
        <v>29</v>
      </c>
      <c r="E2">
        <v>3</v>
      </c>
      <c r="F2">
        <v>20</v>
      </c>
      <c r="G2">
        <v>32370</v>
      </c>
      <c r="H2">
        <v>0</v>
      </c>
      <c r="I2" s="1">
        <v>32370</v>
      </c>
      <c r="J2">
        <v>16185</v>
      </c>
      <c r="K2" s="1">
        <v>16185</v>
      </c>
      <c r="L2" s="3">
        <f>(K2/I2)</f>
        <v>0.5</v>
      </c>
      <c r="M2" s="2">
        <v>41640</v>
      </c>
      <c r="N2">
        <v>1</v>
      </c>
      <c r="O2" t="s">
        <v>5</v>
      </c>
      <c r="P2">
        <v>2014</v>
      </c>
      <c r="R2" t="s">
        <v>36</v>
      </c>
      <c r="S2" s="1" t="s">
        <v>35</v>
      </c>
    </row>
    <row r="3" spans="1:20" x14ac:dyDescent="0.25">
      <c r="A3" t="s">
        <v>8</v>
      </c>
      <c r="B3" t="s">
        <v>19</v>
      </c>
      <c r="C3" t="s">
        <v>28</v>
      </c>
      <c r="D3" t="s">
        <v>29</v>
      </c>
      <c r="E3">
        <v>3</v>
      </c>
      <c r="F3">
        <v>20</v>
      </c>
      <c r="G3">
        <v>26420</v>
      </c>
      <c r="H3">
        <v>0</v>
      </c>
      <c r="I3" s="1">
        <v>26420</v>
      </c>
      <c r="J3">
        <v>13210</v>
      </c>
      <c r="K3" s="1">
        <v>13210</v>
      </c>
      <c r="L3" s="3">
        <f>(K3/I3)</f>
        <v>0.5</v>
      </c>
      <c r="M3" s="2">
        <v>41640</v>
      </c>
      <c r="N3">
        <v>1</v>
      </c>
      <c r="O3" s="4" t="s">
        <v>5</v>
      </c>
      <c r="P3" s="4">
        <v>2014</v>
      </c>
      <c r="Q3" s="4"/>
      <c r="R3" t="s">
        <v>34</v>
      </c>
      <c r="S3" s="1">
        <f>SUM(Table1_14[[ Sales]])</f>
        <v>119920182.25999992</v>
      </c>
    </row>
    <row r="4" spans="1:20" x14ac:dyDescent="0.25">
      <c r="A4" t="s">
        <v>23</v>
      </c>
      <c r="B4" t="s">
        <v>16</v>
      </c>
      <c r="C4" t="s">
        <v>28</v>
      </c>
      <c r="D4" t="s">
        <v>29</v>
      </c>
      <c r="E4">
        <v>3</v>
      </c>
      <c r="F4">
        <v>15</v>
      </c>
      <c r="G4">
        <v>32670</v>
      </c>
      <c r="H4">
        <v>0</v>
      </c>
      <c r="I4" s="1">
        <v>32670</v>
      </c>
      <c r="J4">
        <v>21780</v>
      </c>
      <c r="K4" s="1">
        <v>10890</v>
      </c>
      <c r="L4" s="3">
        <f>(K4/I4)</f>
        <v>0.33333333333333331</v>
      </c>
      <c r="M4" s="2">
        <v>41791</v>
      </c>
      <c r="N4">
        <v>6</v>
      </c>
      <c r="O4" s="4" t="s">
        <v>22</v>
      </c>
      <c r="P4" s="4">
        <v>2014</v>
      </c>
      <c r="Q4" s="4"/>
      <c r="R4" s="4" t="s">
        <v>33</v>
      </c>
      <c r="S4" s="7">
        <f>SUM(Table1_14[Profit])</f>
        <v>17136425.260000009</v>
      </c>
      <c r="T4" s="6"/>
    </row>
    <row r="5" spans="1:20" x14ac:dyDescent="0.25">
      <c r="A5" t="s">
        <v>23</v>
      </c>
      <c r="B5" t="s">
        <v>19</v>
      </c>
      <c r="C5" t="s">
        <v>28</v>
      </c>
      <c r="D5" t="s">
        <v>29</v>
      </c>
      <c r="E5">
        <v>3</v>
      </c>
      <c r="F5">
        <v>15</v>
      </c>
      <c r="G5">
        <v>13320</v>
      </c>
      <c r="H5">
        <v>0</v>
      </c>
      <c r="I5" s="1">
        <v>13320</v>
      </c>
      <c r="J5">
        <v>8880</v>
      </c>
      <c r="K5" s="1">
        <v>4440</v>
      </c>
      <c r="L5" s="3">
        <f>(K5/I5)</f>
        <v>0.33333333333333331</v>
      </c>
      <c r="M5" s="2">
        <v>41791</v>
      </c>
      <c r="N5">
        <v>6</v>
      </c>
      <c r="O5" s="4" t="s">
        <v>22</v>
      </c>
      <c r="P5" s="4">
        <v>2014</v>
      </c>
      <c r="Q5" s="4"/>
      <c r="R5" s="4" t="s">
        <v>32</v>
      </c>
      <c r="S5" s="4">
        <v>704</v>
      </c>
    </row>
    <row r="6" spans="1:20" x14ac:dyDescent="0.25">
      <c r="A6" t="s">
        <v>23</v>
      </c>
      <c r="B6" t="s">
        <v>11</v>
      </c>
      <c r="C6" t="s">
        <v>28</v>
      </c>
      <c r="D6" t="s">
        <v>29</v>
      </c>
      <c r="E6">
        <v>3</v>
      </c>
      <c r="F6">
        <v>15</v>
      </c>
      <c r="G6">
        <v>37050</v>
      </c>
      <c r="H6">
        <v>0</v>
      </c>
      <c r="I6" s="1">
        <v>37050</v>
      </c>
      <c r="J6">
        <v>24700</v>
      </c>
      <c r="K6" s="1">
        <v>12350</v>
      </c>
      <c r="L6" s="3">
        <f>(K6/I6)</f>
        <v>0.33333333333333331</v>
      </c>
      <c r="M6" s="2">
        <v>41791</v>
      </c>
      <c r="N6">
        <v>6</v>
      </c>
      <c r="O6" s="4" t="s">
        <v>22</v>
      </c>
      <c r="P6" s="4">
        <v>2014</v>
      </c>
      <c r="Q6" s="4"/>
      <c r="R6" t="s">
        <v>31</v>
      </c>
      <c r="S6" s="5">
        <f>(S4/S3)</f>
        <v>0.14289859252253626</v>
      </c>
    </row>
    <row r="7" spans="1:20" x14ac:dyDescent="0.25">
      <c r="A7" t="s">
        <v>8</v>
      </c>
      <c r="B7" t="s">
        <v>19</v>
      </c>
      <c r="C7" t="s">
        <v>28</v>
      </c>
      <c r="D7" t="s">
        <v>29</v>
      </c>
      <c r="E7">
        <v>3</v>
      </c>
      <c r="F7">
        <v>350</v>
      </c>
      <c r="G7">
        <v>529550</v>
      </c>
      <c r="H7">
        <v>0</v>
      </c>
      <c r="I7" s="1">
        <v>529550</v>
      </c>
      <c r="J7">
        <v>393380</v>
      </c>
      <c r="K7" s="1">
        <v>136170</v>
      </c>
      <c r="L7" s="3">
        <f>(K7/I7)</f>
        <v>0.25714285714285712</v>
      </c>
      <c r="M7" s="2">
        <v>41974</v>
      </c>
      <c r="N7">
        <v>12</v>
      </c>
      <c r="O7" t="s">
        <v>9</v>
      </c>
      <c r="P7">
        <v>2014</v>
      </c>
    </row>
    <row r="8" spans="1:20" x14ac:dyDescent="0.25">
      <c r="A8" t="s">
        <v>23</v>
      </c>
      <c r="B8" t="s">
        <v>19</v>
      </c>
      <c r="C8" t="s">
        <v>10</v>
      </c>
      <c r="D8" t="s">
        <v>29</v>
      </c>
      <c r="E8">
        <v>5</v>
      </c>
      <c r="F8">
        <v>15</v>
      </c>
      <c r="G8">
        <v>13815</v>
      </c>
      <c r="H8">
        <v>0</v>
      </c>
      <c r="I8" s="1">
        <v>13815</v>
      </c>
      <c r="J8">
        <v>9210</v>
      </c>
      <c r="K8" s="1">
        <v>4605</v>
      </c>
      <c r="L8" s="3">
        <f>(K8/I8)</f>
        <v>0.33333333333333331</v>
      </c>
      <c r="M8" s="2">
        <v>41699</v>
      </c>
      <c r="N8">
        <v>3</v>
      </c>
      <c r="O8" t="s">
        <v>5</v>
      </c>
      <c r="P8">
        <v>2014</v>
      </c>
    </row>
    <row r="9" spans="1:20" x14ac:dyDescent="0.25">
      <c r="A9" t="s">
        <v>4</v>
      </c>
      <c r="B9" t="s">
        <v>7</v>
      </c>
      <c r="C9" t="s">
        <v>10</v>
      </c>
      <c r="D9" t="s">
        <v>29</v>
      </c>
      <c r="E9">
        <v>5</v>
      </c>
      <c r="F9">
        <v>12</v>
      </c>
      <c r="G9">
        <v>30216</v>
      </c>
      <c r="H9">
        <v>0</v>
      </c>
      <c r="I9" s="1">
        <v>30216</v>
      </c>
      <c r="J9">
        <v>7554</v>
      </c>
      <c r="K9" s="1">
        <v>22662</v>
      </c>
      <c r="L9" s="3">
        <f>(K9/I9)</f>
        <v>0.75</v>
      </c>
      <c r="M9" s="2">
        <v>41791</v>
      </c>
      <c r="N9">
        <v>6</v>
      </c>
      <c r="O9" t="s">
        <v>0</v>
      </c>
      <c r="P9">
        <v>2014</v>
      </c>
      <c r="R9" s="4"/>
    </row>
    <row r="10" spans="1:20" x14ac:dyDescent="0.25">
      <c r="A10" t="s">
        <v>8</v>
      </c>
      <c r="B10" t="s">
        <v>16</v>
      </c>
      <c r="C10" t="s">
        <v>10</v>
      </c>
      <c r="D10" t="s">
        <v>29</v>
      </c>
      <c r="E10">
        <v>5</v>
      </c>
      <c r="F10">
        <v>20</v>
      </c>
      <c r="G10">
        <v>37980</v>
      </c>
      <c r="H10">
        <v>0</v>
      </c>
      <c r="I10" s="1">
        <v>37980</v>
      </c>
      <c r="J10">
        <v>18990</v>
      </c>
      <c r="K10" s="1">
        <v>18990</v>
      </c>
      <c r="L10" s="3">
        <f>(K10/I10)</f>
        <v>0.5</v>
      </c>
      <c r="M10" s="2">
        <v>41791</v>
      </c>
      <c r="N10">
        <v>6</v>
      </c>
      <c r="O10" t="s">
        <v>26</v>
      </c>
      <c r="P10">
        <v>2014</v>
      </c>
    </row>
    <row r="11" spans="1:20" x14ac:dyDescent="0.25">
      <c r="A11" t="s">
        <v>4</v>
      </c>
      <c r="B11" t="s">
        <v>19</v>
      </c>
      <c r="C11" t="s">
        <v>10</v>
      </c>
      <c r="D11" t="s">
        <v>29</v>
      </c>
      <c r="E11">
        <v>5</v>
      </c>
      <c r="F11">
        <v>12</v>
      </c>
      <c r="G11">
        <v>18540</v>
      </c>
      <c r="H11">
        <v>0</v>
      </c>
      <c r="I11" s="1">
        <v>18540</v>
      </c>
      <c r="J11">
        <v>4635</v>
      </c>
      <c r="K11" s="1">
        <v>13905</v>
      </c>
      <c r="L11" s="3">
        <f>(K11/I11)</f>
        <v>0.75</v>
      </c>
      <c r="M11" s="2">
        <v>41791</v>
      </c>
      <c r="N11">
        <v>6</v>
      </c>
      <c r="O11" t="s">
        <v>25</v>
      </c>
      <c r="P11">
        <v>2014</v>
      </c>
    </row>
    <row r="12" spans="1:20" x14ac:dyDescent="0.25">
      <c r="A12" t="s">
        <v>23</v>
      </c>
      <c r="B12" t="s">
        <v>11</v>
      </c>
      <c r="C12" t="s">
        <v>10</v>
      </c>
      <c r="D12" t="s">
        <v>29</v>
      </c>
      <c r="E12">
        <v>5</v>
      </c>
      <c r="F12">
        <v>15</v>
      </c>
      <c r="G12">
        <v>37050</v>
      </c>
      <c r="H12">
        <v>0</v>
      </c>
      <c r="I12" s="1">
        <v>37050</v>
      </c>
      <c r="J12">
        <v>24700</v>
      </c>
      <c r="K12" s="1">
        <v>12350</v>
      </c>
      <c r="L12" s="3">
        <f>(K12/I12)</f>
        <v>0.33333333333333331</v>
      </c>
      <c r="M12" s="2">
        <v>41791</v>
      </c>
      <c r="N12">
        <v>6</v>
      </c>
      <c r="O12" t="s">
        <v>24</v>
      </c>
      <c r="P12">
        <v>2014</v>
      </c>
    </row>
    <row r="13" spans="1:20" x14ac:dyDescent="0.25">
      <c r="A13" t="s">
        <v>20</v>
      </c>
      <c r="B13" t="s">
        <v>7</v>
      </c>
      <c r="C13" t="s">
        <v>10</v>
      </c>
      <c r="D13" t="s">
        <v>29</v>
      </c>
      <c r="E13">
        <v>5</v>
      </c>
      <c r="F13">
        <v>125</v>
      </c>
      <c r="G13">
        <v>333187.5</v>
      </c>
      <c r="H13">
        <v>0</v>
      </c>
      <c r="I13" s="1">
        <v>333187.5</v>
      </c>
      <c r="J13">
        <v>319860</v>
      </c>
      <c r="K13" s="1">
        <v>13327.5</v>
      </c>
      <c r="L13" s="3">
        <f>(K13/I13)</f>
        <v>0.04</v>
      </c>
      <c r="M13" s="2">
        <v>41821</v>
      </c>
      <c r="N13">
        <v>7</v>
      </c>
      <c r="O13" t="s">
        <v>22</v>
      </c>
      <c r="P13">
        <v>2014</v>
      </c>
    </row>
    <row r="14" spans="1:20" x14ac:dyDescent="0.25">
      <c r="A14" t="s">
        <v>14</v>
      </c>
      <c r="B14" t="s">
        <v>11</v>
      </c>
      <c r="C14" t="s">
        <v>10</v>
      </c>
      <c r="D14" t="s">
        <v>29</v>
      </c>
      <c r="E14">
        <v>5</v>
      </c>
      <c r="F14">
        <v>300</v>
      </c>
      <c r="G14">
        <v>287400</v>
      </c>
      <c r="H14">
        <v>0</v>
      </c>
      <c r="I14" s="1">
        <v>287400</v>
      </c>
      <c r="J14">
        <v>239500</v>
      </c>
      <c r="K14" s="1">
        <v>47900</v>
      </c>
      <c r="L14" s="3">
        <f>(K14/I14)</f>
        <v>0.16666666666666666</v>
      </c>
      <c r="M14" s="2">
        <v>41852</v>
      </c>
      <c r="N14">
        <v>8</v>
      </c>
      <c r="O14" t="s">
        <v>21</v>
      </c>
      <c r="P14">
        <v>2014</v>
      </c>
    </row>
    <row r="15" spans="1:20" x14ac:dyDescent="0.25">
      <c r="A15" t="s">
        <v>8</v>
      </c>
      <c r="B15" t="s">
        <v>19</v>
      </c>
      <c r="C15" t="s">
        <v>10</v>
      </c>
      <c r="D15" t="s">
        <v>29</v>
      </c>
      <c r="E15">
        <v>5</v>
      </c>
      <c r="F15">
        <v>7</v>
      </c>
      <c r="G15">
        <v>15022</v>
      </c>
      <c r="H15">
        <v>0</v>
      </c>
      <c r="I15" s="1">
        <v>15022</v>
      </c>
      <c r="J15">
        <v>10730</v>
      </c>
      <c r="K15" s="1">
        <v>4292</v>
      </c>
      <c r="L15" s="3">
        <f>(K15/I15)</f>
        <v>0.2857142857142857</v>
      </c>
      <c r="M15" s="2">
        <v>41883</v>
      </c>
      <c r="N15">
        <v>9</v>
      </c>
      <c r="O15" t="s">
        <v>18</v>
      </c>
      <c r="P15">
        <v>2014</v>
      </c>
    </row>
    <row r="16" spans="1:20" x14ac:dyDescent="0.25">
      <c r="A16" t="s">
        <v>20</v>
      </c>
      <c r="B16" t="s">
        <v>7</v>
      </c>
      <c r="C16" t="s">
        <v>10</v>
      </c>
      <c r="D16" t="s">
        <v>29</v>
      </c>
      <c r="E16">
        <v>5</v>
      </c>
      <c r="F16">
        <v>125</v>
      </c>
      <c r="G16">
        <v>43125</v>
      </c>
      <c r="H16">
        <v>0</v>
      </c>
      <c r="I16" s="1">
        <v>43125</v>
      </c>
      <c r="J16">
        <v>41400</v>
      </c>
      <c r="K16" s="1">
        <v>1725</v>
      </c>
      <c r="L16" s="3">
        <f>(K16/I16)</f>
        <v>0.04</v>
      </c>
      <c r="M16" s="2">
        <v>41548</v>
      </c>
      <c r="N16">
        <v>10</v>
      </c>
      <c r="O16" t="s">
        <v>17</v>
      </c>
      <c r="P16">
        <v>2013</v>
      </c>
    </row>
    <row r="17" spans="1:16" x14ac:dyDescent="0.25">
      <c r="A17" t="s">
        <v>23</v>
      </c>
      <c r="B17" t="s">
        <v>3</v>
      </c>
      <c r="C17" t="s">
        <v>10</v>
      </c>
      <c r="D17" t="s">
        <v>29</v>
      </c>
      <c r="E17">
        <v>5</v>
      </c>
      <c r="F17">
        <v>15</v>
      </c>
      <c r="G17">
        <v>9225</v>
      </c>
      <c r="H17">
        <v>0</v>
      </c>
      <c r="I17" s="1">
        <v>9225</v>
      </c>
      <c r="J17">
        <v>6150</v>
      </c>
      <c r="K17" s="1">
        <v>3075</v>
      </c>
      <c r="L17" s="3">
        <f>(K17/I17)</f>
        <v>0.33333333333333331</v>
      </c>
      <c r="M17" s="2">
        <v>41974</v>
      </c>
      <c r="N17">
        <v>12</v>
      </c>
      <c r="O17" t="s">
        <v>15</v>
      </c>
      <c r="P17">
        <v>2014</v>
      </c>
    </row>
    <row r="18" spans="1:16" x14ac:dyDescent="0.25">
      <c r="A18" t="s">
        <v>8</v>
      </c>
      <c r="B18" t="s">
        <v>7</v>
      </c>
      <c r="C18" t="s">
        <v>6</v>
      </c>
      <c r="D18" t="s">
        <v>29</v>
      </c>
      <c r="E18">
        <v>10</v>
      </c>
      <c r="F18">
        <v>20</v>
      </c>
      <c r="G18">
        <v>5840</v>
      </c>
      <c r="H18">
        <v>0</v>
      </c>
      <c r="I18" s="1">
        <v>5840</v>
      </c>
      <c r="J18">
        <v>2920</v>
      </c>
      <c r="K18" s="1">
        <v>2920</v>
      </c>
      <c r="L18" s="3">
        <f>(K18/I18)</f>
        <v>0.5</v>
      </c>
      <c r="M18" s="2">
        <v>41671</v>
      </c>
      <c r="N18">
        <v>2</v>
      </c>
      <c r="O18" t="s">
        <v>12</v>
      </c>
      <c r="P18">
        <v>2014</v>
      </c>
    </row>
    <row r="19" spans="1:16" x14ac:dyDescent="0.25">
      <c r="A19" t="s">
        <v>23</v>
      </c>
      <c r="B19" t="s">
        <v>11</v>
      </c>
      <c r="C19" t="s">
        <v>6</v>
      </c>
      <c r="D19" t="s">
        <v>29</v>
      </c>
      <c r="E19">
        <v>10</v>
      </c>
      <c r="F19">
        <v>15</v>
      </c>
      <c r="G19">
        <v>14610</v>
      </c>
      <c r="H19">
        <v>0</v>
      </c>
      <c r="I19" s="1">
        <v>14610</v>
      </c>
      <c r="J19">
        <v>9740</v>
      </c>
      <c r="K19" s="1">
        <v>4870</v>
      </c>
      <c r="L19" s="3">
        <f>(K19/I19)</f>
        <v>0.33333333333333331</v>
      </c>
      <c r="M19" s="2">
        <v>41671</v>
      </c>
      <c r="N19">
        <v>2</v>
      </c>
      <c r="O19" t="s">
        <v>9</v>
      </c>
      <c r="P19">
        <v>2014</v>
      </c>
    </row>
    <row r="20" spans="1:16" x14ac:dyDescent="0.25">
      <c r="A20" t="s">
        <v>4</v>
      </c>
      <c r="B20" t="s">
        <v>7</v>
      </c>
      <c r="C20" t="s">
        <v>6</v>
      </c>
      <c r="D20" t="s">
        <v>29</v>
      </c>
      <c r="E20">
        <v>10</v>
      </c>
      <c r="F20">
        <v>12</v>
      </c>
      <c r="G20">
        <v>30216</v>
      </c>
      <c r="H20">
        <v>0</v>
      </c>
      <c r="I20" s="1">
        <v>30216</v>
      </c>
      <c r="J20">
        <v>7554</v>
      </c>
      <c r="K20" s="1">
        <v>22662</v>
      </c>
      <c r="L20" s="3">
        <f>(K20/I20)</f>
        <v>0.75</v>
      </c>
      <c r="M20" s="2">
        <v>41791</v>
      </c>
      <c r="N20">
        <v>6</v>
      </c>
      <c r="O20" t="s">
        <v>5</v>
      </c>
      <c r="P20">
        <v>2014</v>
      </c>
    </row>
    <row r="21" spans="1:16" x14ac:dyDescent="0.25">
      <c r="A21" t="s">
        <v>8</v>
      </c>
      <c r="B21" t="s">
        <v>19</v>
      </c>
      <c r="C21" t="s">
        <v>6</v>
      </c>
      <c r="D21" t="s">
        <v>29</v>
      </c>
      <c r="E21">
        <v>10</v>
      </c>
      <c r="F21">
        <v>350</v>
      </c>
      <c r="G21">
        <v>352100</v>
      </c>
      <c r="H21">
        <v>0</v>
      </c>
      <c r="I21" s="1">
        <v>352100</v>
      </c>
      <c r="J21">
        <v>261560</v>
      </c>
      <c r="K21" s="1">
        <v>90540</v>
      </c>
      <c r="L21" s="3">
        <f>(K21/I21)</f>
        <v>0.25714285714285712</v>
      </c>
      <c r="M21" s="2">
        <v>41791</v>
      </c>
      <c r="N21">
        <v>6</v>
      </c>
      <c r="O21" t="s">
        <v>0</v>
      </c>
      <c r="P21">
        <v>2014</v>
      </c>
    </row>
    <row r="22" spans="1:16" x14ac:dyDescent="0.25">
      <c r="A22" t="s">
        <v>4</v>
      </c>
      <c r="B22" t="s">
        <v>19</v>
      </c>
      <c r="C22" t="s">
        <v>6</v>
      </c>
      <c r="D22" t="s">
        <v>29</v>
      </c>
      <c r="E22">
        <v>10</v>
      </c>
      <c r="F22">
        <v>12</v>
      </c>
      <c r="G22">
        <v>4404</v>
      </c>
      <c r="H22">
        <v>0</v>
      </c>
      <c r="I22" s="1">
        <v>4404</v>
      </c>
      <c r="J22">
        <v>1101</v>
      </c>
      <c r="K22" s="1">
        <v>3303</v>
      </c>
      <c r="L22" s="3">
        <f>(K22/I22)</f>
        <v>0.75</v>
      </c>
      <c r="M22" s="2">
        <v>41821</v>
      </c>
      <c r="N22">
        <v>7</v>
      </c>
      <c r="O22" t="s">
        <v>26</v>
      </c>
      <c r="P22">
        <v>2014</v>
      </c>
    </row>
    <row r="23" spans="1:16" x14ac:dyDescent="0.25">
      <c r="A23" t="s">
        <v>8</v>
      </c>
      <c r="B23" t="s">
        <v>11</v>
      </c>
      <c r="C23" t="s">
        <v>6</v>
      </c>
      <c r="D23" t="s">
        <v>29</v>
      </c>
      <c r="E23">
        <v>10</v>
      </c>
      <c r="F23">
        <v>7</v>
      </c>
      <c r="G23">
        <v>6181</v>
      </c>
      <c r="H23">
        <v>0</v>
      </c>
      <c r="I23" s="1">
        <v>6181</v>
      </c>
      <c r="J23">
        <v>4415</v>
      </c>
      <c r="K23" s="1">
        <v>1766</v>
      </c>
      <c r="L23" s="3">
        <f>(K23/I23)</f>
        <v>0.2857142857142857</v>
      </c>
      <c r="M23" s="2">
        <v>41852</v>
      </c>
      <c r="N23">
        <v>8</v>
      </c>
      <c r="O23" t="s">
        <v>25</v>
      </c>
      <c r="P23">
        <v>2014</v>
      </c>
    </row>
    <row r="24" spans="1:16" x14ac:dyDescent="0.25">
      <c r="A24" t="s">
        <v>23</v>
      </c>
      <c r="B24" t="s">
        <v>16</v>
      </c>
      <c r="C24" t="s">
        <v>6</v>
      </c>
      <c r="D24" t="s">
        <v>29</v>
      </c>
      <c r="E24">
        <v>10</v>
      </c>
      <c r="F24">
        <v>15</v>
      </c>
      <c r="G24">
        <v>8235</v>
      </c>
      <c r="H24">
        <v>0</v>
      </c>
      <c r="I24" s="1">
        <v>8235</v>
      </c>
      <c r="J24">
        <v>5490</v>
      </c>
      <c r="K24" s="1">
        <v>2745</v>
      </c>
      <c r="L24" s="3">
        <f>(K24/I24)</f>
        <v>0.33333333333333331</v>
      </c>
      <c r="M24" s="2">
        <v>41518</v>
      </c>
      <c r="N24">
        <v>9</v>
      </c>
      <c r="O24" t="s">
        <v>24</v>
      </c>
      <c r="P24">
        <v>2013</v>
      </c>
    </row>
    <row r="25" spans="1:16" x14ac:dyDescent="0.25">
      <c r="A25" t="s">
        <v>14</v>
      </c>
      <c r="B25" t="s">
        <v>11</v>
      </c>
      <c r="C25" t="s">
        <v>6</v>
      </c>
      <c r="D25" t="s">
        <v>29</v>
      </c>
      <c r="E25">
        <v>10</v>
      </c>
      <c r="F25">
        <v>300</v>
      </c>
      <c r="G25">
        <v>236400</v>
      </c>
      <c r="H25">
        <v>0</v>
      </c>
      <c r="I25" s="1">
        <v>236400</v>
      </c>
      <c r="J25">
        <v>197000</v>
      </c>
      <c r="K25" s="1">
        <v>39400</v>
      </c>
      <c r="L25" s="3">
        <f>(K25/I25)</f>
        <v>0.16666666666666666</v>
      </c>
      <c r="M25" s="2">
        <v>41518</v>
      </c>
      <c r="N25">
        <v>9</v>
      </c>
      <c r="O25" t="s">
        <v>22</v>
      </c>
      <c r="P25">
        <v>2013</v>
      </c>
    </row>
    <row r="26" spans="1:16" x14ac:dyDescent="0.25">
      <c r="A26" t="s">
        <v>23</v>
      </c>
      <c r="B26" t="s">
        <v>11</v>
      </c>
      <c r="C26" t="s">
        <v>6</v>
      </c>
      <c r="D26" t="s">
        <v>29</v>
      </c>
      <c r="E26">
        <v>10</v>
      </c>
      <c r="F26">
        <v>15</v>
      </c>
      <c r="G26">
        <v>37080</v>
      </c>
      <c r="H26">
        <v>0</v>
      </c>
      <c r="I26" s="1">
        <v>37080</v>
      </c>
      <c r="J26">
        <v>24720</v>
      </c>
      <c r="K26" s="1">
        <v>12360</v>
      </c>
      <c r="L26" s="3">
        <f>(K26/I26)</f>
        <v>0.33333333333333331</v>
      </c>
      <c r="M26" s="2">
        <v>41883</v>
      </c>
      <c r="N26">
        <v>9</v>
      </c>
      <c r="O26" t="s">
        <v>21</v>
      </c>
      <c r="P26">
        <v>2014</v>
      </c>
    </row>
    <row r="27" spans="1:16" x14ac:dyDescent="0.25">
      <c r="A27" t="s">
        <v>8</v>
      </c>
      <c r="B27" t="s">
        <v>3</v>
      </c>
      <c r="C27" t="s">
        <v>6</v>
      </c>
      <c r="D27" t="s">
        <v>29</v>
      </c>
      <c r="E27">
        <v>10</v>
      </c>
      <c r="F27">
        <v>7</v>
      </c>
      <c r="G27">
        <v>8001</v>
      </c>
      <c r="H27">
        <v>0</v>
      </c>
      <c r="I27" s="1">
        <v>8001</v>
      </c>
      <c r="J27">
        <v>5715</v>
      </c>
      <c r="K27" s="1">
        <v>2286</v>
      </c>
      <c r="L27" s="3">
        <f>(K27/I27)</f>
        <v>0.2857142857142857</v>
      </c>
      <c r="M27" s="2">
        <v>41913</v>
      </c>
      <c r="N27">
        <v>10</v>
      </c>
      <c r="O27" t="s">
        <v>18</v>
      </c>
      <c r="P27">
        <v>2014</v>
      </c>
    </row>
    <row r="28" spans="1:16" x14ac:dyDescent="0.25">
      <c r="A28" t="s">
        <v>8</v>
      </c>
      <c r="B28" t="s">
        <v>7</v>
      </c>
      <c r="C28" t="s">
        <v>6</v>
      </c>
      <c r="D28" t="s">
        <v>29</v>
      </c>
      <c r="E28">
        <v>10</v>
      </c>
      <c r="F28">
        <v>350</v>
      </c>
      <c r="G28">
        <v>603750</v>
      </c>
      <c r="H28">
        <v>0</v>
      </c>
      <c r="I28" s="1">
        <v>603750</v>
      </c>
      <c r="J28">
        <v>448500</v>
      </c>
      <c r="K28" s="1">
        <v>155250</v>
      </c>
      <c r="L28" s="3">
        <f>(K28/I28)</f>
        <v>0.25714285714285712</v>
      </c>
      <c r="M28" s="2">
        <v>41579</v>
      </c>
      <c r="N28">
        <v>11</v>
      </c>
      <c r="O28" t="s">
        <v>17</v>
      </c>
      <c r="P28">
        <v>2013</v>
      </c>
    </row>
    <row r="29" spans="1:16" x14ac:dyDescent="0.25">
      <c r="A29" t="s">
        <v>4</v>
      </c>
      <c r="B29" t="s">
        <v>3</v>
      </c>
      <c r="C29" t="s">
        <v>6</v>
      </c>
      <c r="D29" t="s">
        <v>29</v>
      </c>
      <c r="E29">
        <v>10</v>
      </c>
      <c r="F29">
        <v>12</v>
      </c>
      <c r="G29">
        <v>10944</v>
      </c>
      <c r="H29">
        <v>0</v>
      </c>
      <c r="I29" s="1">
        <v>10944</v>
      </c>
      <c r="J29">
        <v>2736</v>
      </c>
      <c r="K29" s="1">
        <v>8208</v>
      </c>
      <c r="L29" s="3">
        <f>(K29/I29)</f>
        <v>0.75</v>
      </c>
      <c r="M29" s="2">
        <v>41579</v>
      </c>
      <c r="N29">
        <v>11</v>
      </c>
      <c r="O29" t="s">
        <v>15</v>
      </c>
      <c r="P29">
        <v>2013</v>
      </c>
    </row>
    <row r="30" spans="1:16" x14ac:dyDescent="0.25">
      <c r="A30" t="s">
        <v>23</v>
      </c>
      <c r="B30" t="s">
        <v>7</v>
      </c>
      <c r="C30" t="s">
        <v>6</v>
      </c>
      <c r="D30" t="s">
        <v>29</v>
      </c>
      <c r="E30">
        <v>10</v>
      </c>
      <c r="F30">
        <v>15</v>
      </c>
      <c r="G30">
        <v>32280</v>
      </c>
      <c r="H30">
        <v>0</v>
      </c>
      <c r="I30" s="1">
        <v>32280</v>
      </c>
      <c r="J30">
        <v>21520</v>
      </c>
      <c r="K30" s="1">
        <v>10760</v>
      </c>
      <c r="L30" s="3">
        <f>(K30/I30)</f>
        <v>0.33333333333333331</v>
      </c>
      <c r="M30" s="2">
        <v>41609</v>
      </c>
      <c r="N30">
        <v>12</v>
      </c>
      <c r="O30" t="s">
        <v>12</v>
      </c>
      <c r="P30">
        <v>2013</v>
      </c>
    </row>
    <row r="31" spans="1:16" x14ac:dyDescent="0.25">
      <c r="A31" t="s">
        <v>8</v>
      </c>
      <c r="B31" t="s">
        <v>7</v>
      </c>
      <c r="C31" t="s">
        <v>6</v>
      </c>
      <c r="D31" t="s">
        <v>29</v>
      </c>
      <c r="E31">
        <v>10</v>
      </c>
      <c r="F31">
        <v>20</v>
      </c>
      <c r="G31">
        <v>36340</v>
      </c>
      <c r="H31">
        <v>0</v>
      </c>
      <c r="I31" s="1">
        <v>36340</v>
      </c>
      <c r="J31">
        <v>18170</v>
      </c>
      <c r="K31" s="1">
        <v>18170</v>
      </c>
      <c r="L31" s="3">
        <f>(K31/I31)</f>
        <v>0.5</v>
      </c>
      <c r="M31" s="2">
        <v>41974</v>
      </c>
      <c r="N31">
        <v>12</v>
      </c>
      <c r="O31" t="s">
        <v>9</v>
      </c>
      <c r="P31">
        <v>2014</v>
      </c>
    </row>
    <row r="32" spans="1:16" x14ac:dyDescent="0.25">
      <c r="A32" t="s">
        <v>8</v>
      </c>
      <c r="B32" t="s">
        <v>19</v>
      </c>
      <c r="C32" t="s">
        <v>6</v>
      </c>
      <c r="D32" t="s">
        <v>29</v>
      </c>
      <c r="E32">
        <v>10</v>
      </c>
      <c r="F32">
        <v>350</v>
      </c>
      <c r="G32">
        <v>529550</v>
      </c>
      <c r="H32">
        <v>0</v>
      </c>
      <c r="I32" s="1">
        <v>529550</v>
      </c>
      <c r="J32">
        <v>393380</v>
      </c>
      <c r="K32" s="1">
        <v>136170</v>
      </c>
      <c r="L32" s="3">
        <f>(K32/I32)</f>
        <v>0.25714285714285712</v>
      </c>
      <c r="M32" s="2">
        <v>41974</v>
      </c>
      <c r="N32">
        <v>12</v>
      </c>
      <c r="O32" t="s">
        <v>5</v>
      </c>
      <c r="P32">
        <v>2014</v>
      </c>
    </row>
    <row r="33" spans="1:16" x14ac:dyDescent="0.25">
      <c r="A33" t="s">
        <v>8</v>
      </c>
      <c r="B33" t="s">
        <v>11</v>
      </c>
      <c r="C33" t="s">
        <v>27</v>
      </c>
      <c r="D33" t="s">
        <v>29</v>
      </c>
      <c r="E33">
        <v>120</v>
      </c>
      <c r="F33">
        <v>7</v>
      </c>
      <c r="G33">
        <v>10451</v>
      </c>
      <c r="H33">
        <v>0</v>
      </c>
      <c r="I33" s="1">
        <v>10451</v>
      </c>
      <c r="J33">
        <v>7465</v>
      </c>
      <c r="K33" s="1">
        <v>2986</v>
      </c>
      <c r="L33" s="3">
        <f>(K33/I33)</f>
        <v>0.2857142857142857</v>
      </c>
      <c r="M33" s="2">
        <v>41640</v>
      </c>
      <c r="N33">
        <v>1</v>
      </c>
      <c r="O33" t="s">
        <v>0</v>
      </c>
      <c r="P33">
        <v>2014</v>
      </c>
    </row>
    <row r="34" spans="1:16" x14ac:dyDescent="0.25">
      <c r="A34" t="s">
        <v>20</v>
      </c>
      <c r="B34" t="s">
        <v>16</v>
      </c>
      <c r="C34" t="s">
        <v>27</v>
      </c>
      <c r="D34" t="s">
        <v>29</v>
      </c>
      <c r="E34">
        <v>120</v>
      </c>
      <c r="F34">
        <v>125</v>
      </c>
      <c r="G34">
        <v>225500</v>
      </c>
      <c r="H34">
        <v>0</v>
      </c>
      <c r="I34" s="1">
        <v>225500</v>
      </c>
      <c r="J34">
        <v>216480</v>
      </c>
      <c r="K34" s="1">
        <v>9020</v>
      </c>
      <c r="L34" s="3">
        <f>(K34/I34)</f>
        <v>0.04</v>
      </c>
      <c r="M34" s="2">
        <v>41671</v>
      </c>
      <c r="N34">
        <v>2</v>
      </c>
      <c r="O34" t="s">
        <v>26</v>
      </c>
      <c r="P34">
        <v>2014</v>
      </c>
    </row>
    <row r="35" spans="1:16" x14ac:dyDescent="0.25">
      <c r="A35" t="s">
        <v>4</v>
      </c>
      <c r="B35" t="s">
        <v>19</v>
      </c>
      <c r="C35" t="s">
        <v>27</v>
      </c>
      <c r="D35" t="s">
        <v>29</v>
      </c>
      <c r="E35">
        <v>120</v>
      </c>
      <c r="F35">
        <v>12</v>
      </c>
      <c r="G35">
        <v>25932</v>
      </c>
      <c r="H35">
        <v>0</v>
      </c>
      <c r="I35" s="1">
        <v>25932</v>
      </c>
      <c r="J35">
        <v>6483</v>
      </c>
      <c r="K35" s="1">
        <v>19449</v>
      </c>
      <c r="L35" s="3">
        <f>(K35/I35)</f>
        <v>0.75</v>
      </c>
      <c r="M35" s="2">
        <v>41699</v>
      </c>
      <c r="N35">
        <v>3</v>
      </c>
      <c r="O35" t="s">
        <v>25</v>
      </c>
      <c r="P35">
        <v>2014</v>
      </c>
    </row>
    <row r="36" spans="1:16" x14ac:dyDescent="0.25">
      <c r="A36" t="s">
        <v>8</v>
      </c>
      <c r="B36" t="s">
        <v>19</v>
      </c>
      <c r="C36" t="s">
        <v>27</v>
      </c>
      <c r="D36" t="s">
        <v>29</v>
      </c>
      <c r="E36">
        <v>120</v>
      </c>
      <c r="F36">
        <v>350</v>
      </c>
      <c r="G36">
        <v>352100</v>
      </c>
      <c r="H36">
        <v>0</v>
      </c>
      <c r="I36" s="1">
        <v>352100</v>
      </c>
      <c r="J36">
        <v>261560</v>
      </c>
      <c r="K36" s="1">
        <v>90540</v>
      </c>
      <c r="L36" s="3">
        <f>(K36/I36)</f>
        <v>0.25714285714285712</v>
      </c>
      <c r="M36" s="2">
        <v>41791</v>
      </c>
      <c r="N36">
        <v>6</v>
      </c>
      <c r="O36" t="s">
        <v>24</v>
      </c>
      <c r="P36">
        <v>2014</v>
      </c>
    </row>
    <row r="37" spans="1:16" x14ac:dyDescent="0.25">
      <c r="A37" t="s">
        <v>4</v>
      </c>
      <c r="B37" t="s">
        <v>19</v>
      </c>
      <c r="C37" t="s">
        <v>27</v>
      </c>
      <c r="D37" t="s">
        <v>29</v>
      </c>
      <c r="E37">
        <v>120</v>
      </c>
      <c r="F37">
        <v>12</v>
      </c>
      <c r="G37">
        <v>18540</v>
      </c>
      <c r="H37">
        <v>0</v>
      </c>
      <c r="I37" s="1">
        <v>18540</v>
      </c>
      <c r="J37">
        <v>4635</v>
      </c>
      <c r="K37" s="1">
        <v>13905</v>
      </c>
      <c r="L37" s="3">
        <f>(K37/I37)</f>
        <v>0.75</v>
      </c>
      <c r="M37" s="2">
        <v>41791</v>
      </c>
      <c r="N37">
        <v>6</v>
      </c>
      <c r="O37" t="s">
        <v>22</v>
      </c>
      <c r="P37">
        <v>2014</v>
      </c>
    </row>
    <row r="38" spans="1:16" x14ac:dyDescent="0.25">
      <c r="A38" t="s">
        <v>20</v>
      </c>
      <c r="B38" t="s">
        <v>3</v>
      </c>
      <c r="C38" t="s">
        <v>27</v>
      </c>
      <c r="D38" t="s">
        <v>29</v>
      </c>
      <c r="E38">
        <v>120</v>
      </c>
      <c r="F38">
        <v>125</v>
      </c>
      <c r="G38">
        <v>352625</v>
      </c>
      <c r="H38">
        <v>0</v>
      </c>
      <c r="I38" s="1">
        <v>352625</v>
      </c>
      <c r="J38">
        <v>338520</v>
      </c>
      <c r="K38" s="1">
        <v>14105</v>
      </c>
      <c r="L38" s="3">
        <f>(K38/I38)</f>
        <v>0.04</v>
      </c>
      <c r="M38" s="2">
        <v>41852</v>
      </c>
      <c r="N38">
        <v>8</v>
      </c>
      <c r="O38" t="s">
        <v>21</v>
      </c>
      <c r="P38">
        <v>2014</v>
      </c>
    </row>
    <row r="39" spans="1:16" x14ac:dyDescent="0.25">
      <c r="A39" t="s">
        <v>20</v>
      </c>
      <c r="B39" t="s">
        <v>7</v>
      </c>
      <c r="C39" t="s">
        <v>27</v>
      </c>
      <c r="D39" t="s">
        <v>29</v>
      </c>
      <c r="E39">
        <v>120</v>
      </c>
      <c r="F39">
        <v>125</v>
      </c>
      <c r="G39">
        <v>43125</v>
      </c>
      <c r="H39">
        <v>0</v>
      </c>
      <c r="I39" s="1">
        <v>43125</v>
      </c>
      <c r="J39">
        <v>41400</v>
      </c>
      <c r="K39" s="1">
        <v>1725</v>
      </c>
      <c r="L39" s="3">
        <f>(K39/I39)</f>
        <v>0.04</v>
      </c>
      <c r="M39" s="2">
        <v>41548</v>
      </c>
      <c r="N39">
        <v>10</v>
      </c>
      <c r="O39" t="s">
        <v>18</v>
      </c>
      <c r="P39">
        <v>2013</v>
      </c>
    </row>
    <row r="40" spans="1:16" x14ac:dyDescent="0.25">
      <c r="A40" t="s">
        <v>14</v>
      </c>
      <c r="B40" t="s">
        <v>7</v>
      </c>
      <c r="C40" t="s">
        <v>2</v>
      </c>
      <c r="D40" t="s">
        <v>29</v>
      </c>
      <c r="E40">
        <v>250</v>
      </c>
      <c r="F40">
        <v>300</v>
      </c>
      <c r="G40">
        <v>600300</v>
      </c>
      <c r="H40">
        <v>0</v>
      </c>
      <c r="I40" s="1">
        <v>600300</v>
      </c>
      <c r="J40">
        <v>500250</v>
      </c>
      <c r="K40" s="1">
        <v>100050</v>
      </c>
      <c r="L40" s="3">
        <f>(K40/I40)</f>
        <v>0.16666666666666666</v>
      </c>
      <c r="M40" s="2">
        <v>41671</v>
      </c>
      <c r="N40">
        <v>2</v>
      </c>
      <c r="O40" t="s">
        <v>17</v>
      </c>
      <c r="P40">
        <v>2014</v>
      </c>
    </row>
    <row r="41" spans="1:16" x14ac:dyDescent="0.25">
      <c r="A41" t="s">
        <v>4</v>
      </c>
      <c r="B41" t="s">
        <v>19</v>
      </c>
      <c r="C41" t="s">
        <v>2</v>
      </c>
      <c r="D41" t="s">
        <v>29</v>
      </c>
      <c r="E41">
        <v>250</v>
      </c>
      <c r="F41">
        <v>12</v>
      </c>
      <c r="G41">
        <v>34056</v>
      </c>
      <c r="H41">
        <v>0</v>
      </c>
      <c r="I41" s="1">
        <v>34056</v>
      </c>
      <c r="J41">
        <v>8514</v>
      </c>
      <c r="K41" s="1">
        <v>25542</v>
      </c>
      <c r="L41" s="3">
        <f>(K41/I41)</f>
        <v>0.75</v>
      </c>
      <c r="M41" s="2">
        <v>41730</v>
      </c>
      <c r="N41">
        <v>4</v>
      </c>
      <c r="O41" t="s">
        <v>15</v>
      </c>
      <c r="P41">
        <v>2014</v>
      </c>
    </row>
    <row r="42" spans="1:16" x14ac:dyDescent="0.25">
      <c r="A42" t="s">
        <v>23</v>
      </c>
      <c r="B42" t="s">
        <v>16</v>
      </c>
      <c r="C42" t="s">
        <v>2</v>
      </c>
      <c r="D42" t="s">
        <v>29</v>
      </c>
      <c r="E42">
        <v>250</v>
      </c>
      <c r="F42">
        <v>15</v>
      </c>
      <c r="G42">
        <v>32670</v>
      </c>
      <c r="H42">
        <v>0</v>
      </c>
      <c r="I42" s="1">
        <v>32670</v>
      </c>
      <c r="J42">
        <v>21780</v>
      </c>
      <c r="K42" s="1">
        <v>10890</v>
      </c>
      <c r="L42" s="3">
        <f>(K42/I42)</f>
        <v>0.33333333333333331</v>
      </c>
      <c r="M42" s="2">
        <v>41791</v>
      </c>
      <c r="N42">
        <v>6</v>
      </c>
      <c r="O42" t="s">
        <v>12</v>
      </c>
      <c r="P42">
        <v>2014</v>
      </c>
    </row>
    <row r="43" spans="1:16" x14ac:dyDescent="0.25">
      <c r="A43" t="s">
        <v>23</v>
      </c>
      <c r="B43" t="s">
        <v>19</v>
      </c>
      <c r="C43" t="s">
        <v>2</v>
      </c>
      <c r="D43" t="s">
        <v>29</v>
      </c>
      <c r="E43">
        <v>250</v>
      </c>
      <c r="F43">
        <v>15</v>
      </c>
      <c r="G43">
        <v>13320</v>
      </c>
      <c r="H43">
        <v>0</v>
      </c>
      <c r="I43" s="1">
        <v>13320</v>
      </c>
      <c r="J43">
        <v>8880</v>
      </c>
      <c r="K43" s="1">
        <v>4440</v>
      </c>
      <c r="L43" s="3">
        <f>(K43/I43)</f>
        <v>0.33333333333333331</v>
      </c>
      <c r="M43" s="2">
        <v>41791</v>
      </c>
      <c r="N43">
        <v>6</v>
      </c>
      <c r="O43" t="s">
        <v>9</v>
      </c>
      <c r="P43">
        <v>2014</v>
      </c>
    </row>
    <row r="44" spans="1:16" x14ac:dyDescent="0.25">
      <c r="A44" t="s">
        <v>8</v>
      </c>
      <c r="B44" t="s">
        <v>16</v>
      </c>
      <c r="C44" t="s">
        <v>2</v>
      </c>
      <c r="D44" t="s">
        <v>29</v>
      </c>
      <c r="E44">
        <v>250</v>
      </c>
      <c r="F44">
        <v>350</v>
      </c>
      <c r="G44">
        <v>534450</v>
      </c>
      <c r="H44">
        <v>0</v>
      </c>
      <c r="I44" s="1">
        <v>534450</v>
      </c>
      <c r="J44">
        <v>397020</v>
      </c>
      <c r="K44" s="1">
        <v>137430</v>
      </c>
      <c r="L44" s="3">
        <f>(K44/I44)</f>
        <v>0.25714285714285712</v>
      </c>
      <c r="M44" s="2">
        <v>41518</v>
      </c>
      <c r="N44">
        <v>9</v>
      </c>
      <c r="O44" t="s">
        <v>5</v>
      </c>
      <c r="P44">
        <v>2013</v>
      </c>
    </row>
    <row r="45" spans="1:16" x14ac:dyDescent="0.25">
      <c r="A45" t="s">
        <v>14</v>
      </c>
      <c r="B45" t="s">
        <v>16</v>
      </c>
      <c r="C45" t="s">
        <v>2</v>
      </c>
      <c r="D45" t="s">
        <v>29</v>
      </c>
      <c r="E45">
        <v>250</v>
      </c>
      <c r="F45">
        <v>300</v>
      </c>
      <c r="G45">
        <v>645300</v>
      </c>
      <c r="H45">
        <v>0</v>
      </c>
      <c r="I45" s="1">
        <v>645300</v>
      </c>
      <c r="J45">
        <v>537750</v>
      </c>
      <c r="K45" s="1">
        <v>107550</v>
      </c>
      <c r="L45" s="3">
        <f>(K45/I45)</f>
        <v>0.16666666666666666</v>
      </c>
      <c r="M45" s="2">
        <v>41883</v>
      </c>
      <c r="N45">
        <v>9</v>
      </c>
      <c r="O45" t="s">
        <v>0</v>
      </c>
      <c r="P45">
        <v>2014</v>
      </c>
    </row>
    <row r="46" spans="1:16" x14ac:dyDescent="0.25">
      <c r="A46" t="s">
        <v>8</v>
      </c>
      <c r="B46" t="s">
        <v>7</v>
      </c>
      <c r="C46" t="s">
        <v>2</v>
      </c>
      <c r="D46" t="s">
        <v>29</v>
      </c>
      <c r="E46">
        <v>250</v>
      </c>
      <c r="F46">
        <v>20</v>
      </c>
      <c r="G46">
        <v>36340</v>
      </c>
      <c r="H46">
        <v>0</v>
      </c>
      <c r="I46" s="1">
        <v>36340</v>
      </c>
      <c r="J46">
        <v>18170</v>
      </c>
      <c r="K46" s="1">
        <v>18170</v>
      </c>
      <c r="L46" s="3">
        <f>(K46/I46)</f>
        <v>0.5</v>
      </c>
      <c r="M46" s="2">
        <v>41974</v>
      </c>
      <c r="N46">
        <v>12</v>
      </c>
      <c r="O46" t="s">
        <v>26</v>
      </c>
      <c r="P46">
        <v>2014</v>
      </c>
    </row>
    <row r="47" spans="1:16" x14ac:dyDescent="0.25">
      <c r="A47" t="s">
        <v>8</v>
      </c>
      <c r="B47" t="s">
        <v>16</v>
      </c>
      <c r="C47" t="s">
        <v>13</v>
      </c>
      <c r="D47" t="s">
        <v>29</v>
      </c>
      <c r="E47">
        <v>260</v>
      </c>
      <c r="F47">
        <v>350</v>
      </c>
      <c r="G47">
        <v>962500</v>
      </c>
      <c r="H47">
        <v>0</v>
      </c>
      <c r="I47" s="1">
        <v>962500</v>
      </c>
      <c r="J47">
        <v>715000</v>
      </c>
      <c r="K47" s="1">
        <v>247500</v>
      </c>
      <c r="L47" s="3">
        <f>(K47/I47)</f>
        <v>0.25714285714285712</v>
      </c>
      <c r="M47" s="2">
        <v>41671</v>
      </c>
      <c r="N47">
        <v>2</v>
      </c>
      <c r="O47" t="s">
        <v>25</v>
      </c>
      <c r="P47">
        <v>2014</v>
      </c>
    </row>
    <row r="48" spans="1:16" x14ac:dyDescent="0.25">
      <c r="A48" t="s">
        <v>4</v>
      </c>
      <c r="B48" t="s">
        <v>3</v>
      </c>
      <c r="C48" t="s">
        <v>13</v>
      </c>
      <c r="D48" t="s">
        <v>29</v>
      </c>
      <c r="E48">
        <v>260</v>
      </c>
      <c r="F48">
        <v>12</v>
      </c>
      <c r="G48">
        <v>23436</v>
      </c>
      <c r="H48">
        <v>0</v>
      </c>
      <c r="I48" s="1">
        <v>23436</v>
      </c>
      <c r="J48">
        <v>5859</v>
      </c>
      <c r="K48" s="1">
        <v>17577</v>
      </c>
      <c r="L48" s="3">
        <f>(K48/I48)</f>
        <v>0.75</v>
      </c>
      <c r="M48" s="2">
        <v>41730</v>
      </c>
      <c r="N48">
        <v>4</v>
      </c>
      <c r="O48" t="s">
        <v>24</v>
      </c>
      <c r="P48">
        <v>2014</v>
      </c>
    </row>
    <row r="49" spans="1:16" x14ac:dyDescent="0.25">
      <c r="A49" t="s">
        <v>4</v>
      </c>
      <c r="B49" t="s">
        <v>3</v>
      </c>
      <c r="C49" t="s">
        <v>13</v>
      </c>
      <c r="D49" t="s">
        <v>29</v>
      </c>
      <c r="E49">
        <v>260</v>
      </c>
      <c r="F49">
        <v>12</v>
      </c>
      <c r="G49">
        <v>23436</v>
      </c>
      <c r="H49">
        <v>0</v>
      </c>
      <c r="I49" s="1">
        <v>23436</v>
      </c>
      <c r="J49">
        <v>5859</v>
      </c>
      <c r="K49" s="1">
        <v>17577</v>
      </c>
      <c r="L49" s="3">
        <f>(K49/I49)</f>
        <v>0.75</v>
      </c>
      <c r="M49" s="2">
        <v>41730</v>
      </c>
      <c r="N49">
        <v>4</v>
      </c>
      <c r="O49" t="s">
        <v>22</v>
      </c>
      <c r="P49">
        <v>2014</v>
      </c>
    </row>
    <row r="50" spans="1:16" x14ac:dyDescent="0.25">
      <c r="A50" t="s">
        <v>20</v>
      </c>
      <c r="B50" t="s">
        <v>19</v>
      </c>
      <c r="C50" t="s">
        <v>13</v>
      </c>
      <c r="D50" t="s">
        <v>29</v>
      </c>
      <c r="E50">
        <v>260</v>
      </c>
      <c r="F50">
        <v>125</v>
      </c>
      <c r="G50">
        <v>527437.5</v>
      </c>
      <c r="H50">
        <v>0</v>
      </c>
      <c r="I50" s="1">
        <v>527437.5</v>
      </c>
      <c r="J50">
        <v>506340</v>
      </c>
      <c r="K50" s="1">
        <v>21097.5</v>
      </c>
      <c r="L50" s="3">
        <f>(K50/I50)</f>
        <v>0.04</v>
      </c>
      <c r="M50" s="2">
        <v>41730</v>
      </c>
      <c r="N50">
        <v>4</v>
      </c>
      <c r="O50" t="s">
        <v>21</v>
      </c>
      <c r="P50">
        <v>2014</v>
      </c>
    </row>
    <row r="51" spans="1:16" x14ac:dyDescent="0.25">
      <c r="A51" t="s">
        <v>8</v>
      </c>
      <c r="B51" t="s">
        <v>16</v>
      </c>
      <c r="C51" t="s">
        <v>13</v>
      </c>
      <c r="D51" t="s">
        <v>29</v>
      </c>
      <c r="E51">
        <v>260</v>
      </c>
      <c r="F51">
        <v>20</v>
      </c>
      <c r="G51">
        <v>37980</v>
      </c>
      <c r="H51">
        <v>0</v>
      </c>
      <c r="I51" s="1">
        <v>37980</v>
      </c>
      <c r="J51">
        <v>18990</v>
      </c>
      <c r="K51" s="1">
        <v>18990</v>
      </c>
      <c r="L51" s="3">
        <f>(K51/I51)</f>
        <v>0.5</v>
      </c>
      <c r="M51" s="2">
        <v>41791</v>
      </c>
      <c r="N51">
        <v>6</v>
      </c>
      <c r="O51" t="s">
        <v>18</v>
      </c>
      <c r="P51">
        <v>2014</v>
      </c>
    </row>
    <row r="52" spans="1:16" x14ac:dyDescent="0.25">
      <c r="A52" t="s">
        <v>8</v>
      </c>
      <c r="B52" t="s">
        <v>19</v>
      </c>
      <c r="C52" t="s">
        <v>13</v>
      </c>
      <c r="D52" t="s">
        <v>29</v>
      </c>
      <c r="E52">
        <v>260</v>
      </c>
      <c r="F52">
        <v>7</v>
      </c>
      <c r="G52">
        <v>11802</v>
      </c>
      <c r="H52">
        <v>0</v>
      </c>
      <c r="I52" s="1">
        <v>11802</v>
      </c>
      <c r="J52">
        <v>8430</v>
      </c>
      <c r="K52" s="1">
        <v>3372</v>
      </c>
      <c r="L52" s="3">
        <f>(K52/I52)</f>
        <v>0.2857142857142857</v>
      </c>
      <c r="M52" s="2">
        <v>41821</v>
      </c>
      <c r="N52">
        <v>7</v>
      </c>
      <c r="O52" t="s">
        <v>17</v>
      </c>
      <c r="P52">
        <v>2014</v>
      </c>
    </row>
    <row r="53" spans="1:16" x14ac:dyDescent="0.25">
      <c r="A53" t="s">
        <v>4</v>
      </c>
      <c r="B53" t="s">
        <v>3</v>
      </c>
      <c r="C53" t="s">
        <v>13</v>
      </c>
      <c r="D53" t="s">
        <v>29</v>
      </c>
      <c r="E53">
        <v>260</v>
      </c>
      <c r="F53">
        <v>12</v>
      </c>
      <c r="G53">
        <v>25692</v>
      </c>
      <c r="H53">
        <v>0</v>
      </c>
      <c r="I53" s="1">
        <v>25692</v>
      </c>
      <c r="J53">
        <v>6423</v>
      </c>
      <c r="K53" s="1">
        <v>19269</v>
      </c>
      <c r="L53" s="3">
        <f>(K53/I53)</f>
        <v>0.75</v>
      </c>
      <c r="M53" s="2">
        <v>41852</v>
      </c>
      <c r="N53">
        <v>8</v>
      </c>
      <c r="O53" t="s">
        <v>15</v>
      </c>
      <c r="P53">
        <v>2014</v>
      </c>
    </row>
    <row r="54" spans="1:16" x14ac:dyDescent="0.25">
      <c r="A54" t="s">
        <v>8</v>
      </c>
      <c r="B54" t="s">
        <v>3</v>
      </c>
      <c r="C54" t="s">
        <v>13</v>
      </c>
      <c r="D54" t="s">
        <v>29</v>
      </c>
      <c r="E54">
        <v>260</v>
      </c>
      <c r="F54">
        <v>7</v>
      </c>
      <c r="G54">
        <v>8001</v>
      </c>
      <c r="H54">
        <v>0</v>
      </c>
      <c r="I54" s="1">
        <v>8001</v>
      </c>
      <c r="J54">
        <v>5715</v>
      </c>
      <c r="K54" s="1">
        <v>2286</v>
      </c>
      <c r="L54" s="3">
        <f>(K54/I54)</f>
        <v>0.2857142857142857</v>
      </c>
      <c r="M54" s="2">
        <v>41913</v>
      </c>
      <c r="N54">
        <v>10</v>
      </c>
      <c r="O54" t="s">
        <v>12</v>
      </c>
      <c r="P54">
        <v>2014</v>
      </c>
    </row>
    <row r="55" spans="1:16" x14ac:dyDescent="0.25">
      <c r="A55" t="s">
        <v>23</v>
      </c>
      <c r="B55" t="s">
        <v>3</v>
      </c>
      <c r="C55" t="s">
        <v>13</v>
      </c>
      <c r="D55" t="s">
        <v>29</v>
      </c>
      <c r="E55">
        <v>260</v>
      </c>
      <c r="F55">
        <v>15</v>
      </c>
      <c r="G55">
        <v>9225</v>
      </c>
      <c r="H55">
        <v>0</v>
      </c>
      <c r="I55" s="1">
        <v>9225</v>
      </c>
      <c r="J55">
        <v>6150</v>
      </c>
      <c r="K55" s="1">
        <v>3075</v>
      </c>
      <c r="L55" s="3">
        <f>(K55/I55)</f>
        <v>0.33333333333333331</v>
      </c>
      <c r="M55" s="2">
        <v>41974</v>
      </c>
      <c r="N55">
        <v>12</v>
      </c>
      <c r="O55" t="s">
        <v>9</v>
      </c>
      <c r="P55">
        <v>2014</v>
      </c>
    </row>
    <row r="56" spans="1:16" x14ac:dyDescent="0.25">
      <c r="A56" t="s">
        <v>23</v>
      </c>
      <c r="B56" t="s">
        <v>3</v>
      </c>
      <c r="C56" t="s">
        <v>13</v>
      </c>
      <c r="D56" t="s">
        <v>29</v>
      </c>
      <c r="E56">
        <v>260</v>
      </c>
      <c r="F56">
        <v>15</v>
      </c>
      <c r="G56">
        <v>9225</v>
      </c>
      <c r="H56">
        <v>0</v>
      </c>
      <c r="I56" s="1">
        <v>9225</v>
      </c>
      <c r="J56">
        <v>6150</v>
      </c>
      <c r="K56" s="1">
        <v>3075</v>
      </c>
      <c r="L56" s="3">
        <f>(K56/I56)</f>
        <v>0.33333333333333331</v>
      </c>
      <c r="M56" s="2">
        <v>41974</v>
      </c>
      <c r="N56">
        <v>12</v>
      </c>
      <c r="O56" t="s">
        <v>5</v>
      </c>
      <c r="P56">
        <v>2014</v>
      </c>
    </row>
    <row r="57" spans="1:16" x14ac:dyDescent="0.25">
      <c r="A57" t="s">
        <v>8</v>
      </c>
      <c r="B57" t="s">
        <v>16</v>
      </c>
      <c r="C57" t="s">
        <v>6</v>
      </c>
      <c r="D57" t="s">
        <v>30</v>
      </c>
      <c r="E57">
        <v>10</v>
      </c>
      <c r="F57">
        <v>7</v>
      </c>
      <c r="G57">
        <v>27615</v>
      </c>
      <c r="H57">
        <v>276.14999999999998</v>
      </c>
      <c r="I57" s="1">
        <v>27338.850000000002</v>
      </c>
      <c r="J57">
        <v>19725</v>
      </c>
      <c r="K57" s="1">
        <v>7613.8500000000022</v>
      </c>
      <c r="L57" s="3">
        <f>(K57/I57)</f>
        <v>0.27849927849927858</v>
      </c>
      <c r="M57" s="2">
        <v>41640</v>
      </c>
      <c r="N57">
        <v>1</v>
      </c>
      <c r="O57" t="s">
        <v>0</v>
      </c>
      <c r="P57">
        <v>2014</v>
      </c>
    </row>
    <row r="58" spans="1:16" x14ac:dyDescent="0.25">
      <c r="A58" t="s">
        <v>23</v>
      </c>
      <c r="B58" t="s">
        <v>16</v>
      </c>
      <c r="C58" t="s">
        <v>6</v>
      </c>
      <c r="D58" t="s">
        <v>30</v>
      </c>
      <c r="E58">
        <v>10</v>
      </c>
      <c r="F58">
        <v>15</v>
      </c>
      <c r="G58">
        <v>34440</v>
      </c>
      <c r="H58">
        <v>344.4</v>
      </c>
      <c r="I58" s="1">
        <v>34095.599999999999</v>
      </c>
      <c r="J58">
        <v>22960</v>
      </c>
      <c r="K58" s="1">
        <v>11135.599999999999</v>
      </c>
      <c r="L58" s="3">
        <f>(K58/I58)</f>
        <v>0.32659932659932656</v>
      </c>
      <c r="M58" s="2">
        <v>41671</v>
      </c>
      <c r="N58">
        <v>2</v>
      </c>
      <c r="O58" t="s">
        <v>26</v>
      </c>
      <c r="P58">
        <v>2014</v>
      </c>
    </row>
    <row r="59" spans="1:16" x14ac:dyDescent="0.25">
      <c r="A59" t="s">
        <v>8</v>
      </c>
      <c r="B59" t="s">
        <v>16</v>
      </c>
      <c r="C59" t="s">
        <v>6</v>
      </c>
      <c r="D59" t="s">
        <v>30</v>
      </c>
      <c r="E59">
        <v>10</v>
      </c>
      <c r="F59">
        <v>7</v>
      </c>
      <c r="G59">
        <v>7210</v>
      </c>
      <c r="H59">
        <v>72.099999999999994</v>
      </c>
      <c r="I59" s="1">
        <v>7137.9</v>
      </c>
      <c r="J59">
        <v>5150</v>
      </c>
      <c r="K59" s="1">
        <v>1987.8999999999996</v>
      </c>
      <c r="L59" s="3">
        <f>(K59/I59)</f>
        <v>0.27849927849927847</v>
      </c>
      <c r="M59" s="2">
        <v>41760</v>
      </c>
      <c r="N59">
        <v>5</v>
      </c>
      <c r="O59" t="s">
        <v>25</v>
      </c>
      <c r="P59">
        <v>2014</v>
      </c>
    </row>
    <row r="60" spans="1:16" x14ac:dyDescent="0.25">
      <c r="A60" t="s">
        <v>8</v>
      </c>
      <c r="B60" t="s">
        <v>16</v>
      </c>
      <c r="C60" t="s">
        <v>27</v>
      </c>
      <c r="D60" t="s">
        <v>30</v>
      </c>
      <c r="E60">
        <v>120</v>
      </c>
      <c r="F60">
        <v>7</v>
      </c>
      <c r="G60">
        <v>4473</v>
      </c>
      <c r="H60">
        <v>44.73</v>
      </c>
      <c r="I60" s="1">
        <v>4428.2700000000004</v>
      </c>
      <c r="J60">
        <v>3195</v>
      </c>
      <c r="K60" s="1">
        <v>1233.2700000000004</v>
      </c>
      <c r="L60" s="3">
        <f>(K60/I60)</f>
        <v>0.27849927849927858</v>
      </c>
      <c r="M60" s="2">
        <v>41944</v>
      </c>
      <c r="N60">
        <v>11</v>
      </c>
      <c r="O60" t="s">
        <v>24</v>
      </c>
      <c r="P60">
        <v>2014</v>
      </c>
    </row>
    <row r="61" spans="1:16" x14ac:dyDescent="0.25">
      <c r="A61" t="s">
        <v>8</v>
      </c>
      <c r="B61" t="s">
        <v>7</v>
      </c>
      <c r="C61" t="s">
        <v>2</v>
      </c>
      <c r="D61" t="s">
        <v>30</v>
      </c>
      <c r="E61">
        <v>250</v>
      </c>
      <c r="F61">
        <v>7</v>
      </c>
      <c r="G61">
        <v>9282</v>
      </c>
      <c r="H61">
        <v>92.82</v>
      </c>
      <c r="I61" s="1">
        <v>9189.18</v>
      </c>
      <c r="J61">
        <v>6630</v>
      </c>
      <c r="K61" s="1">
        <v>2559.1800000000003</v>
      </c>
      <c r="L61" s="3">
        <f>(K61/I61)</f>
        <v>0.27849927849927852</v>
      </c>
      <c r="M61" s="2">
        <v>41699</v>
      </c>
      <c r="N61">
        <v>3</v>
      </c>
      <c r="O61" t="s">
        <v>22</v>
      </c>
      <c r="P61">
        <v>2014</v>
      </c>
    </row>
    <row r="62" spans="1:16" x14ac:dyDescent="0.25">
      <c r="A62" t="s">
        <v>4</v>
      </c>
      <c r="B62" t="s">
        <v>3</v>
      </c>
      <c r="C62" t="s">
        <v>28</v>
      </c>
      <c r="D62" t="s">
        <v>30</v>
      </c>
      <c r="E62">
        <v>3</v>
      </c>
      <c r="F62">
        <v>12</v>
      </c>
      <c r="G62">
        <v>22296</v>
      </c>
      <c r="H62">
        <v>222.96</v>
      </c>
      <c r="I62" s="1">
        <v>22073.040000000001</v>
      </c>
      <c r="J62">
        <v>5574</v>
      </c>
      <c r="K62" s="1">
        <v>16499.04</v>
      </c>
      <c r="L62" s="3">
        <f>(K62/I62)</f>
        <v>0.74747474747474751</v>
      </c>
      <c r="M62" s="2">
        <v>41671</v>
      </c>
      <c r="N62">
        <v>2</v>
      </c>
      <c r="O62" t="s">
        <v>21</v>
      </c>
      <c r="P62">
        <v>2014</v>
      </c>
    </row>
    <row r="63" spans="1:16" x14ac:dyDescent="0.25">
      <c r="A63" t="s">
        <v>8</v>
      </c>
      <c r="B63" t="s">
        <v>11</v>
      </c>
      <c r="C63" t="s">
        <v>28</v>
      </c>
      <c r="D63" t="s">
        <v>30</v>
      </c>
      <c r="E63">
        <v>3</v>
      </c>
      <c r="F63">
        <v>350</v>
      </c>
      <c r="G63">
        <v>423500</v>
      </c>
      <c r="H63">
        <v>4235</v>
      </c>
      <c r="I63" s="1">
        <v>419265</v>
      </c>
      <c r="J63">
        <v>314600</v>
      </c>
      <c r="K63" s="1">
        <v>104665</v>
      </c>
      <c r="L63" s="3">
        <f>(K63/I63)</f>
        <v>0.24963924963924963</v>
      </c>
      <c r="M63" s="2">
        <v>41699</v>
      </c>
      <c r="N63">
        <v>3</v>
      </c>
      <c r="O63" t="s">
        <v>18</v>
      </c>
      <c r="P63">
        <v>2014</v>
      </c>
    </row>
    <row r="64" spans="1:16" x14ac:dyDescent="0.25">
      <c r="A64" t="s">
        <v>8</v>
      </c>
      <c r="B64" t="s">
        <v>11</v>
      </c>
      <c r="C64" t="s">
        <v>28</v>
      </c>
      <c r="D64" t="s">
        <v>30</v>
      </c>
      <c r="E64">
        <v>3</v>
      </c>
      <c r="F64">
        <v>350</v>
      </c>
      <c r="G64">
        <v>423500</v>
      </c>
      <c r="H64">
        <v>4235</v>
      </c>
      <c r="I64" s="1">
        <v>419265</v>
      </c>
      <c r="J64">
        <v>314600</v>
      </c>
      <c r="K64" s="1">
        <v>104665</v>
      </c>
      <c r="L64" s="3">
        <f>(K64/I64)</f>
        <v>0.24963924963924963</v>
      </c>
      <c r="M64" s="2">
        <v>41699</v>
      </c>
      <c r="N64">
        <v>3</v>
      </c>
      <c r="O64" t="s">
        <v>17</v>
      </c>
      <c r="P64">
        <v>2014</v>
      </c>
    </row>
    <row r="65" spans="1:16" x14ac:dyDescent="0.25">
      <c r="A65" t="s">
        <v>8</v>
      </c>
      <c r="B65" t="s">
        <v>3</v>
      </c>
      <c r="C65" t="s">
        <v>28</v>
      </c>
      <c r="D65" t="s">
        <v>30</v>
      </c>
      <c r="E65">
        <v>3</v>
      </c>
      <c r="F65">
        <v>7</v>
      </c>
      <c r="G65">
        <v>17703</v>
      </c>
      <c r="H65">
        <v>177.03</v>
      </c>
      <c r="I65" s="1">
        <v>17525.97</v>
      </c>
      <c r="J65">
        <v>12645</v>
      </c>
      <c r="K65" s="1">
        <v>4880.9699999999993</v>
      </c>
      <c r="L65" s="3">
        <f>(K65/I65)</f>
        <v>0.27849927849927847</v>
      </c>
      <c r="M65" s="2">
        <v>41821</v>
      </c>
      <c r="N65">
        <v>7</v>
      </c>
      <c r="O65" t="s">
        <v>15</v>
      </c>
      <c r="P65">
        <v>2014</v>
      </c>
    </row>
    <row r="66" spans="1:16" x14ac:dyDescent="0.25">
      <c r="A66" t="s">
        <v>4</v>
      </c>
      <c r="B66" t="s">
        <v>7</v>
      </c>
      <c r="C66" t="s">
        <v>28</v>
      </c>
      <c r="D66" t="s">
        <v>30</v>
      </c>
      <c r="E66">
        <v>3</v>
      </c>
      <c r="F66">
        <v>12</v>
      </c>
      <c r="G66">
        <v>17340</v>
      </c>
      <c r="H66">
        <v>173.4</v>
      </c>
      <c r="I66" s="1">
        <v>17166.599999999999</v>
      </c>
      <c r="J66">
        <v>4335</v>
      </c>
      <c r="K66" s="1">
        <v>12831.599999999999</v>
      </c>
      <c r="L66" s="3">
        <f>(K66/I66)</f>
        <v>0.7474747474747474</v>
      </c>
      <c r="M66" s="2">
        <v>41883</v>
      </c>
      <c r="N66">
        <v>9</v>
      </c>
      <c r="O66" t="s">
        <v>12</v>
      </c>
      <c r="P66">
        <v>2014</v>
      </c>
    </row>
    <row r="67" spans="1:16" x14ac:dyDescent="0.25">
      <c r="A67" t="s">
        <v>20</v>
      </c>
      <c r="B67" t="s">
        <v>3</v>
      </c>
      <c r="C67" t="s">
        <v>28</v>
      </c>
      <c r="D67" t="s">
        <v>30</v>
      </c>
      <c r="E67">
        <v>3</v>
      </c>
      <c r="F67">
        <v>125</v>
      </c>
      <c r="G67">
        <v>41250</v>
      </c>
      <c r="H67">
        <v>412.5</v>
      </c>
      <c r="I67" s="1">
        <v>40837.5</v>
      </c>
      <c r="J67">
        <v>39600</v>
      </c>
      <c r="K67" s="1">
        <v>1237.5</v>
      </c>
      <c r="L67" s="3">
        <f>(K67/I67)</f>
        <v>3.0303030303030304E-2</v>
      </c>
      <c r="M67" s="2">
        <v>41518</v>
      </c>
      <c r="N67">
        <v>9</v>
      </c>
      <c r="O67" t="s">
        <v>9</v>
      </c>
      <c r="P67">
        <v>2013</v>
      </c>
    </row>
    <row r="68" spans="1:16" x14ac:dyDescent="0.25">
      <c r="A68" t="s">
        <v>4</v>
      </c>
      <c r="B68" t="s">
        <v>16</v>
      </c>
      <c r="C68" t="s">
        <v>28</v>
      </c>
      <c r="D68" t="s">
        <v>30</v>
      </c>
      <c r="E68">
        <v>3</v>
      </c>
      <c r="F68">
        <v>12</v>
      </c>
      <c r="G68">
        <v>32052</v>
      </c>
      <c r="H68">
        <v>320.52</v>
      </c>
      <c r="I68" s="1">
        <v>31731.48</v>
      </c>
      <c r="J68">
        <v>8013</v>
      </c>
      <c r="K68" s="1">
        <v>23718.48</v>
      </c>
      <c r="L68" s="3">
        <f>(K68/I68)</f>
        <v>0.74747474747474751</v>
      </c>
      <c r="M68" s="2">
        <v>41883</v>
      </c>
      <c r="N68">
        <v>9</v>
      </c>
      <c r="O68" t="s">
        <v>5</v>
      </c>
      <c r="P68">
        <v>2014</v>
      </c>
    </row>
    <row r="69" spans="1:16" x14ac:dyDescent="0.25">
      <c r="A69" t="s">
        <v>4</v>
      </c>
      <c r="B69" t="s">
        <v>19</v>
      </c>
      <c r="C69" t="s">
        <v>28</v>
      </c>
      <c r="D69" t="s">
        <v>30</v>
      </c>
      <c r="E69">
        <v>3</v>
      </c>
      <c r="F69">
        <v>12</v>
      </c>
      <c r="G69">
        <v>9192</v>
      </c>
      <c r="H69">
        <v>91.92</v>
      </c>
      <c r="I69" s="1">
        <v>9100.08</v>
      </c>
      <c r="J69">
        <v>2298</v>
      </c>
      <c r="K69" s="1">
        <v>6802.08</v>
      </c>
      <c r="L69" s="3">
        <f>(K69/I69)</f>
        <v>0.74747474747474751</v>
      </c>
      <c r="M69" s="2">
        <v>41548</v>
      </c>
      <c r="N69">
        <v>10</v>
      </c>
      <c r="O69" t="s">
        <v>0</v>
      </c>
      <c r="P69">
        <v>2013</v>
      </c>
    </row>
    <row r="70" spans="1:16" x14ac:dyDescent="0.25">
      <c r="A70" t="s">
        <v>14</v>
      </c>
      <c r="B70" t="s">
        <v>11</v>
      </c>
      <c r="C70" t="s">
        <v>28</v>
      </c>
      <c r="D70" t="s">
        <v>30</v>
      </c>
      <c r="E70">
        <v>3</v>
      </c>
      <c r="F70">
        <v>300</v>
      </c>
      <c r="G70">
        <v>148200</v>
      </c>
      <c r="H70">
        <v>1482</v>
      </c>
      <c r="I70" s="1">
        <v>146718</v>
      </c>
      <c r="J70">
        <v>123500</v>
      </c>
      <c r="K70" s="1">
        <v>23218</v>
      </c>
      <c r="L70" s="3">
        <f>(K70/I70)</f>
        <v>0.15824915824915825</v>
      </c>
      <c r="M70" s="2">
        <v>41548</v>
      </c>
      <c r="N70">
        <v>10</v>
      </c>
      <c r="O70" t="s">
        <v>26</v>
      </c>
      <c r="P70">
        <v>2013</v>
      </c>
    </row>
    <row r="71" spans="1:16" x14ac:dyDescent="0.25">
      <c r="A71" t="s">
        <v>8</v>
      </c>
      <c r="B71" t="s">
        <v>11</v>
      </c>
      <c r="C71" t="s">
        <v>28</v>
      </c>
      <c r="D71" t="s">
        <v>30</v>
      </c>
      <c r="E71">
        <v>3</v>
      </c>
      <c r="F71">
        <v>350</v>
      </c>
      <c r="G71">
        <v>488950</v>
      </c>
      <c r="H71">
        <v>4889.5</v>
      </c>
      <c r="I71" s="1">
        <v>484060.5</v>
      </c>
      <c r="J71">
        <v>363220</v>
      </c>
      <c r="K71" s="1">
        <v>120840.5</v>
      </c>
      <c r="L71" s="3">
        <f>(K71/I71)</f>
        <v>0.24963924963924963</v>
      </c>
      <c r="M71" s="2">
        <v>41913</v>
      </c>
      <c r="N71">
        <v>10</v>
      </c>
      <c r="O71" t="s">
        <v>25</v>
      </c>
      <c r="P71">
        <v>2014</v>
      </c>
    </row>
    <row r="72" spans="1:16" x14ac:dyDescent="0.25">
      <c r="A72" t="s">
        <v>8</v>
      </c>
      <c r="B72" t="s">
        <v>16</v>
      </c>
      <c r="C72" t="s">
        <v>28</v>
      </c>
      <c r="D72" t="s">
        <v>30</v>
      </c>
      <c r="E72">
        <v>3</v>
      </c>
      <c r="F72">
        <v>350</v>
      </c>
      <c r="G72">
        <v>754250</v>
      </c>
      <c r="H72">
        <v>7542.5</v>
      </c>
      <c r="I72" s="1">
        <v>746707.5</v>
      </c>
      <c r="J72">
        <v>560300</v>
      </c>
      <c r="K72" s="1">
        <v>186407.5</v>
      </c>
      <c r="L72" s="3">
        <f>(K72/I72)</f>
        <v>0.24963924963924963</v>
      </c>
      <c r="M72" s="2">
        <v>41974</v>
      </c>
      <c r="N72">
        <v>12</v>
      </c>
      <c r="O72" t="s">
        <v>24</v>
      </c>
      <c r="P72">
        <v>2014</v>
      </c>
    </row>
    <row r="73" spans="1:16" x14ac:dyDescent="0.25">
      <c r="A73" t="s">
        <v>23</v>
      </c>
      <c r="B73" t="s">
        <v>11</v>
      </c>
      <c r="C73" t="s">
        <v>10</v>
      </c>
      <c r="D73" t="s">
        <v>30</v>
      </c>
      <c r="E73">
        <v>5</v>
      </c>
      <c r="F73">
        <v>15</v>
      </c>
      <c r="G73">
        <v>33210</v>
      </c>
      <c r="H73">
        <v>332.1</v>
      </c>
      <c r="I73" s="1">
        <v>32877.9</v>
      </c>
      <c r="J73">
        <v>22140</v>
      </c>
      <c r="K73" s="1">
        <v>10737.900000000001</v>
      </c>
      <c r="L73" s="3">
        <f>(K73/I73)</f>
        <v>0.32659932659932661</v>
      </c>
      <c r="M73" s="2">
        <v>41699</v>
      </c>
      <c r="N73">
        <v>3</v>
      </c>
      <c r="O73" t="s">
        <v>22</v>
      </c>
      <c r="P73">
        <v>2014</v>
      </c>
    </row>
    <row r="74" spans="1:16" x14ac:dyDescent="0.25">
      <c r="A74" t="s">
        <v>14</v>
      </c>
      <c r="B74" t="s">
        <v>3</v>
      </c>
      <c r="C74" t="s">
        <v>10</v>
      </c>
      <c r="D74" t="s">
        <v>30</v>
      </c>
      <c r="E74">
        <v>5</v>
      </c>
      <c r="F74">
        <v>300</v>
      </c>
      <c r="G74">
        <v>690300</v>
      </c>
      <c r="H74">
        <v>6903</v>
      </c>
      <c r="I74" s="1">
        <v>683397</v>
      </c>
      <c r="J74">
        <v>575250</v>
      </c>
      <c r="K74" s="1">
        <v>108147</v>
      </c>
      <c r="L74" s="3">
        <f>(K74/I74)</f>
        <v>0.15824915824915825</v>
      </c>
      <c r="M74" s="2">
        <v>41730</v>
      </c>
      <c r="N74">
        <v>4</v>
      </c>
      <c r="O74" t="s">
        <v>21</v>
      </c>
      <c r="P74">
        <v>2014</v>
      </c>
    </row>
    <row r="75" spans="1:16" x14ac:dyDescent="0.25">
      <c r="A75" t="s">
        <v>8</v>
      </c>
      <c r="B75" t="s">
        <v>16</v>
      </c>
      <c r="C75" t="s">
        <v>10</v>
      </c>
      <c r="D75" t="s">
        <v>30</v>
      </c>
      <c r="E75">
        <v>5</v>
      </c>
      <c r="F75">
        <v>20</v>
      </c>
      <c r="G75">
        <v>27510</v>
      </c>
      <c r="H75">
        <v>275.10000000000002</v>
      </c>
      <c r="I75" s="1">
        <v>27234.899999999998</v>
      </c>
      <c r="J75">
        <v>13755</v>
      </c>
      <c r="K75" s="1">
        <v>13479.899999999998</v>
      </c>
      <c r="L75" s="3">
        <f>(K75/I75)</f>
        <v>0.49494949494949492</v>
      </c>
      <c r="M75" s="2">
        <v>41821</v>
      </c>
      <c r="N75">
        <v>7</v>
      </c>
      <c r="O75" t="s">
        <v>18</v>
      </c>
      <c r="P75">
        <v>2014</v>
      </c>
    </row>
    <row r="76" spans="1:16" x14ac:dyDescent="0.25">
      <c r="A76" t="s">
        <v>8</v>
      </c>
      <c r="B76" t="s">
        <v>7</v>
      </c>
      <c r="C76" t="s">
        <v>10</v>
      </c>
      <c r="D76" t="s">
        <v>30</v>
      </c>
      <c r="E76">
        <v>5</v>
      </c>
      <c r="F76">
        <v>7</v>
      </c>
      <c r="G76">
        <v>12810</v>
      </c>
      <c r="H76">
        <v>128.1</v>
      </c>
      <c r="I76" s="1">
        <v>12681.9</v>
      </c>
      <c r="J76">
        <v>9150</v>
      </c>
      <c r="K76" s="1">
        <v>3531.8999999999996</v>
      </c>
      <c r="L76" s="3">
        <f>(K76/I76)</f>
        <v>0.27849927849927847</v>
      </c>
      <c r="M76" s="2">
        <v>41852</v>
      </c>
      <c r="N76">
        <v>8</v>
      </c>
      <c r="O76" t="s">
        <v>17</v>
      </c>
      <c r="P76">
        <v>2014</v>
      </c>
    </row>
    <row r="77" spans="1:16" x14ac:dyDescent="0.25">
      <c r="A77" t="s">
        <v>14</v>
      </c>
      <c r="B77" t="s">
        <v>3</v>
      </c>
      <c r="C77" t="s">
        <v>10</v>
      </c>
      <c r="D77" t="s">
        <v>30</v>
      </c>
      <c r="E77">
        <v>5</v>
      </c>
      <c r="F77">
        <v>300</v>
      </c>
      <c r="G77">
        <v>749400</v>
      </c>
      <c r="H77">
        <v>7494</v>
      </c>
      <c r="I77" s="1">
        <v>741906</v>
      </c>
      <c r="J77">
        <v>624500</v>
      </c>
      <c r="K77" s="1">
        <v>117406</v>
      </c>
      <c r="L77" s="3">
        <f>(K77/I77)</f>
        <v>0.15824915824915825</v>
      </c>
      <c r="M77" s="2">
        <v>41518</v>
      </c>
      <c r="N77">
        <v>9</v>
      </c>
      <c r="O77" t="s">
        <v>15</v>
      </c>
      <c r="P77">
        <v>2013</v>
      </c>
    </row>
    <row r="78" spans="1:16" x14ac:dyDescent="0.25">
      <c r="A78" t="s">
        <v>14</v>
      </c>
      <c r="B78" t="s">
        <v>3</v>
      </c>
      <c r="C78" t="s">
        <v>10</v>
      </c>
      <c r="D78" t="s">
        <v>30</v>
      </c>
      <c r="E78">
        <v>5</v>
      </c>
      <c r="F78">
        <v>300</v>
      </c>
      <c r="G78">
        <v>749400</v>
      </c>
      <c r="H78">
        <v>7494</v>
      </c>
      <c r="I78" s="1">
        <v>741906</v>
      </c>
      <c r="J78">
        <v>624500</v>
      </c>
      <c r="K78" s="1">
        <v>117406</v>
      </c>
      <c r="L78" s="3">
        <f>(K78/I78)</f>
        <v>0.15824915824915825</v>
      </c>
      <c r="M78" s="2">
        <v>41518</v>
      </c>
      <c r="N78">
        <v>9</v>
      </c>
      <c r="O78" t="s">
        <v>12</v>
      </c>
      <c r="P78">
        <v>2013</v>
      </c>
    </row>
    <row r="79" spans="1:16" x14ac:dyDescent="0.25">
      <c r="A79" t="s">
        <v>20</v>
      </c>
      <c r="B79" t="s">
        <v>3</v>
      </c>
      <c r="C79" t="s">
        <v>10</v>
      </c>
      <c r="D79" t="s">
        <v>30</v>
      </c>
      <c r="E79">
        <v>5</v>
      </c>
      <c r="F79">
        <v>125</v>
      </c>
      <c r="G79">
        <v>82875</v>
      </c>
      <c r="H79">
        <v>828.75</v>
      </c>
      <c r="I79" s="1">
        <v>82046.25</v>
      </c>
      <c r="J79">
        <v>79560</v>
      </c>
      <c r="K79" s="1">
        <v>2486.25</v>
      </c>
      <c r="L79" s="3">
        <f>(K79/I79)</f>
        <v>3.0303030303030304E-2</v>
      </c>
      <c r="M79" s="2">
        <v>41548</v>
      </c>
      <c r="N79">
        <v>10</v>
      </c>
      <c r="O79" t="s">
        <v>9</v>
      </c>
      <c r="P79">
        <v>2013</v>
      </c>
    </row>
    <row r="80" spans="1:16" x14ac:dyDescent="0.25">
      <c r="A80" t="s">
        <v>23</v>
      </c>
      <c r="B80" t="s">
        <v>3</v>
      </c>
      <c r="C80" t="s">
        <v>6</v>
      </c>
      <c r="D80" t="s">
        <v>30</v>
      </c>
      <c r="E80">
        <v>10</v>
      </c>
      <c r="F80">
        <v>15</v>
      </c>
      <c r="G80">
        <v>22710</v>
      </c>
      <c r="H80">
        <v>227.1</v>
      </c>
      <c r="I80" s="1">
        <v>22482.9</v>
      </c>
      <c r="J80">
        <v>15140</v>
      </c>
      <c r="K80" s="1">
        <v>7342.9000000000015</v>
      </c>
      <c r="L80" s="3">
        <f>(K80/I80)</f>
        <v>0.32659932659932667</v>
      </c>
      <c r="M80" s="2">
        <v>41671</v>
      </c>
      <c r="N80">
        <v>2</v>
      </c>
      <c r="O80" t="s">
        <v>5</v>
      </c>
      <c r="P80">
        <v>2014</v>
      </c>
    </row>
    <row r="81" spans="1:16" x14ac:dyDescent="0.25">
      <c r="A81" t="s">
        <v>8</v>
      </c>
      <c r="B81" t="s">
        <v>3</v>
      </c>
      <c r="C81" t="s">
        <v>6</v>
      </c>
      <c r="D81" t="s">
        <v>30</v>
      </c>
      <c r="E81">
        <v>10</v>
      </c>
      <c r="F81">
        <v>7</v>
      </c>
      <c r="G81">
        <v>31447.5</v>
      </c>
      <c r="H81">
        <v>314.47500000000002</v>
      </c>
      <c r="I81" s="1">
        <v>31133.024999999998</v>
      </c>
      <c r="J81">
        <v>22462.5</v>
      </c>
      <c r="K81" s="1">
        <v>8670.5249999999978</v>
      </c>
      <c r="L81" s="3">
        <f>(K81/I81)</f>
        <v>0.27849927849927847</v>
      </c>
      <c r="M81" s="2">
        <v>41730</v>
      </c>
      <c r="N81">
        <v>4</v>
      </c>
      <c r="O81" t="s">
        <v>0</v>
      </c>
      <c r="P81">
        <v>2014</v>
      </c>
    </row>
    <row r="82" spans="1:16" x14ac:dyDescent="0.25">
      <c r="A82" t="s">
        <v>20</v>
      </c>
      <c r="B82" t="s">
        <v>3</v>
      </c>
      <c r="C82" t="s">
        <v>6</v>
      </c>
      <c r="D82" t="s">
        <v>30</v>
      </c>
      <c r="E82">
        <v>10</v>
      </c>
      <c r="F82">
        <v>125</v>
      </c>
      <c r="G82">
        <v>90875</v>
      </c>
      <c r="H82">
        <v>908.75</v>
      </c>
      <c r="I82" s="1">
        <v>89966.25</v>
      </c>
      <c r="J82">
        <v>87240</v>
      </c>
      <c r="K82" s="1">
        <v>2726.25</v>
      </c>
      <c r="L82" s="3">
        <f>(K82/I82)</f>
        <v>3.0303030303030304E-2</v>
      </c>
      <c r="M82" s="2">
        <v>41791</v>
      </c>
      <c r="N82">
        <v>6</v>
      </c>
      <c r="O82" t="s">
        <v>26</v>
      </c>
      <c r="P82">
        <v>2014</v>
      </c>
    </row>
    <row r="83" spans="1:16" x14ac:dyDescent="0.25">
      <c r="A83" t="s">
        <v>20</v>
      </c>
      <c r="B83" t="s">
        <v>16</v>
      </c>
      <c r="C83" t="s">
        <v>6</v>
      </c>
      <c r="D83" t="s">
        <v>30</v>
      </c>
      <c r="E83">
        <v>10</v>
      </c>
      <c r="F83">
        <v>125</v>
      </c>
      <c r="G83">
        <v>98375</v>
      </c>
      <c r="H83">
        <v>983.75</v>
      </c>
      <c r="I83" s="1">
        <v>97391.25</v>
      </c>
      <c r="J83">
        <v>94440</v>
      </c>
      <c r="K83" s="1">
        <v>2951.25</v>
      </c>
      <c r="L83" s="3">
        <f>(K83/I83)</f>
        <v>3.0303030303030304E-2</v>
      </c>
      <c r="M83" s="2">
        <v>41791</v>
      </c>
      <c r="N83">
        <v>6</v>
      </c>
      <c r="O83" t="s">
        <v>25</v>
      </c>
      <c r="P83">
        <v>2014</v>
      </c>
    </row>
    <row r="84" spans="1:16" x14ac:dyDescent="0.25">
      <c r="A84" t="s">
        <v>20</v>
      </c>
      <c r="B84" t="s">
        <v>11</v>
      </c>
      <c r="C84" t="s">
        <v>6</v>
      </c>
      <c r="D84" t="s">
        <v>30</v>
      </c>
      <c r="E84">
        <v>10</v>
      </c>
      <c r="F84">
        <v>125</v>
      </c>
      <c r="G84">
        <v>227875</v>
      </c>
      <c r="H84">
        <v>2278.75</v>
      </c>
      <c r="I84" s="1">
        <v>225596.25</v>
      </c>
      <c r="J84">
        <v>218760</v>
      </c>
      <c r="K84" s="1">
        <v>6836.25</v>
      </c>
      <c r="L84" s="3">
        <f>(K84/I84)</f>
        <v>3.0303030303030304E-2</v>
      </c>
      <c r="M84" s="2">
        <v>41821</v>
      </c>
      <c r="N84">
        <v>7</v>
      </c>
      <c r="O84" t="s">
        <v>24</v>
      </c>
      <c r="P84">
        <v>2014</v>
      </c>
    </row>
    <row r="85" spans="1:16" x14ac:dyDescent="0.25">
      <c r="A85" t="s">
        <v>23</v>
      </c>
      <c r="B85" t="s">
        <v>19</v>
      </c>
      <c r="C85" t="s">
        <v>6</v>
      </c>
      <c r="D85" t="s">
        <v>30</v>
      </c>
      <c r="E85">
        <v>10</v>
      </c>
      <c r="F85">
        <v>15</v>
      </c>
      <c r="G85">
        <v>11205</v>
      </c>
      <c r="H85">
        <v>112.05</v>
      </c>
      <c r="I85" s="1">
        <v>11092.95</v>
      </c>
      <c r="J85">
        <v>7470</v>
      </c>
      <c r="K85" s="1">
        <v>3622.9500000000007</v>
      </c>
      <c r="L85" s="3">
        <f>(K85/I85)</f>
        <v>0.32659932659932667</v>
      </c>
      <c r="M85" s="2">
        <v>41883</v>
      </c>
      <c r="N85">
        <v>9</v>
      </c>
      <c r="O85" t="s">
        <v>22</v>
      </c>
      <c r="P85">
        <v>2014</v>
      </c>
    </row>
    <row r="86" spans="1:16" x14ac:dyDescent="0.25">
      <c r="A86" t="s">
        <v>4</v>
      </c>
      <c r="B86" t="s">
        <v>19</v>
      </c>
      <c r="C86" t="s">
        <v>6</v>
      </c>
      <c r="D86" t="s">
        <v>30</v>
      </c>
      <c r="E86">
        <v>10</v>
      </c>
      <c r="F86">
        <v>12</v>
      </c>
      <c r="G86">
        <v>9192</v>
      </c>
      <c r="H86">
        <v>91.92</v>
      </c>
      <c r="I86" s="1">
        <v>9100.08</v>
      </c>
      <c r="J86">
        <v>2298</v>
      </c>
      <c r="K86" s="1">
        <v>6802.08</v>
      </c>
      <c r="L86" s="3">
        <f>(K86/I86)</f>
        <v>0.74747474747474751</v>
      </c>
      <c r="M86" s="2">
        <v>41548</v>
      </c>
      <c r="N86">
        <v>10</v>
      </c>
      <c r="O86" t="s">
        <v>21</v>
      </c>
      <c r="P86">
        <v>2013</v>
      </c>
    </row>
    <row r="87" spans="1:16" x14ac:dyDescent="0.25">
      <c r="A87" t="s">
        <v>14</v>
      </c>
      <c r="B87" t="s">
        <v>3</v>
      </c>
      <c r="C87" t="s">
        <v>6</v>
      </c>
      <c r="D87" t="s">
        <v>30</v>
      </c>
      <c r="E87">
        <v>10</v>
      </c>
      <c r="F87">
        <v>300</v>
      </c>
      <c r="G87">
        <v>871500</v>
      </c>
      <c r="H87">
        <v>8715</v>
      </c>
      <c r="I87" s="1">
        <v>862785</v>
      </c>
      <c r="J87">
        <v>726250</v>
      </c>
      <c r="K87" s="1">
        <v>136535</v>
      </c>
      <c r="L87" s="3">
        <f>(K87/I87)</f>
        <v>0.15824915824915825</v>
      </c>
      <c r="M87" s="2">
        <v>41944</v>
      </c>
      <c r="N87">
        <v>11</v>
      </c>
      <c r="O87" t="s">
        <v>18</v>
      </c>
      <c r="P87">
        <v>2014</v>
      </c>
    </row>
    <row r="88" spans="1:16" x14ac:dyDescent="0.25">
      <c r="A88" t="s">
        <v>8</v>
      </c>
      <c r="B88" t="s">
        <v>16</v>
      </c>
      <c r="C88" t="s">
        <v>6</v>
      </c>
      <c r="D88" t="s">
        <v>30</v>
      </c>
      <c r="E88">
        <v>10</v>
      </c>
      <c r="F88">
        <v>350</v>
      </c>
      <c r="G88">
        <v>754250</v>
      </c>
      <c r="H88">
        <v>7542.5</v>
      </c>
      <c r="I88" s="1">
        <v>746707.5</v>
      </c>
      <c r="J88">
        <v>560300</v>
      </c>
      <c r="K88" s="1">
        <v>186407.5</v>
      </c>
      <c r="L88" s="3">
        <f>(K88/I88)</f>
        <v>0.24963924963924963</v>
      </c>
      <c r="M88" s="2">
        <v>41974</v>
      </c>
      <c r="N88">
        <v>12</v>
      </c>
      <c r="O88" t="s">
        <v>17</v>
      </c>
      <c r="P88">
        <v>2014</v>
      </c>
    </row>
    <row r="89" spans="1:16" x14ac:dyDescent="0.25">
      <c r="A89" t="s">
        <v>8</v>
      </c>
      <c r="B89" t="s">
        <v>16</v>
      </c>
      <c r="C89" t="s">
        <v>27</v>
      </c>
      <c r="D89" t="s">
        <v>30</v>
      </c>
      <c r="E89">
        <v>120</v>
      </c>
      <c r="F89">
        <v>20</v>
      </c>
      <c r="G89">
        <v>77280</v>
      </c>
      <c r="H89">
        <v>772.80000000000007</v>
      </c>
      <c r="I89" s="1">
        <v>76507.200000000012</v>
      </c>
      <c r="J89">
        <v>38640</v>
      </c>
      <c r="K89" s="1">
        <v>37867.200000000004</v>
      </c>
      <c r="L89" s="3">
        <f>(K89/I89)</f>
        <v>0.49494949494949492</v>
      </c>
      <c r="M89" s="2">
        <v>41730</v>
      </c>
      <c r="N89">
        <v>4</v>
      </c>
      <c r="O89" t="s">
        <v>15</v>
      </c>
      <c r="P89">
        <v>2014</v>
      </c>
    </row>
    <row r="90" spans="1:16" x14ac:dyDescent="0.25">
      <c r="A90" t="s">
        <v>8</v>
      </c>
      <c r="B90" t="s">
        <v>11</v>
      </c>
      <c r="C90" t="s">
        <v>27</v>
      </c>
      <c r="D90" t="s">
        <v>30</v>
      </c>
      <c r="E90">
        <v>120</v>
      </c>
      <c r="F90">
        <v>7</v>
      </c>
      <c r="G90">
        <v>2534</v>
      </c>
      <c r="H90">
        <v>25.34</v>
      </c>
      <c r="I90" s="1">
        <v>2508.66</v>
      </c>
      <c r="J90">
        <v>1810</v>
      </c>
      <c r="K90" s="1">
        <v>698.65999999999985</v>
      </c>
      <c r="L90" s="3">
        <f>(K90/I90)</f>
        <v>0.27849927849927847</v>
      </c>
      <c r="M90" s="2">
        <v>41760</v>
      </c>
      <c r="N90">
        <v>5</v>
      </c>
      <c r="O90" t="s">
        <v>12</v>
      </c>
      <c r="P90">
        <v>2014</v>
      </c>
    </row>
    <row r="91" spans="1:16" x14ac:dyDescent="0.25">
      <c r="A91" t="s">
        <v>20</v>
      </c>
      <c r="B91" t="s">
        <v>7</v>
      </c>
      <c r="C91" t="s">
        <v>27</v>
      </c>
      <c r="D91" t="s">
        <v>30</v>
      </c>
      <c r="E91">
        <v>120</v>
      </c>
      <c r="F91">
        <v>125</v>
      </c>
      <c r="G91">
        <v>115375</v>
      </c>
      <c r="H91">
        <v>1153.75</v>
      </c>
      <c r="I91" s="1">
        <v>114221.25</v>
      </c>
      <c r="J91">
        <v>110760</v>
      </c>
      <c r="K91" s="1">
        <v>3461.25</v>
      </c>
      <c r="L91" s="3">
        <f>(K91/I91)</f>
        <v>3.0303030303030304E-2</v>
      </c>
      <c r="M91" s="2">
        <v>41852</v>
      </c>
      <c r="N91">
        <v>8</v>
      </c>
      <c r="O91" t="s">
        <v>9</v>
      </c>
      <c r="P91">
        <v>2014</v>
      </c>
    </row>
    <row r="92" spans="1:16" x14ac:dyDescent="0.25">
      <c r="A92" t="s">
        <v>20</v>
      </c>
      <c r="B92" t="s">
        <v>3</v>
      </c>
      <c r="C92" t="s">
        <v>27</v>
      </c>
      <c r="D92" t="s">
        <v>30</v>
      </c>
      <c r="E92">
        <v>120</v>
      </c>
      <c r="F92">
        <v>125</v>
      </c>
      <c r="G92">
        <v>82875</v>
      </c>
      <c r="H92">
        <v>828.75</v>
      </c>
      <c r="I92" s="1">
        <v>82046.25</v>
      </c>
      <c r="J92">
        <v>79560</v>
      </c>
      <c r="K92" s="1">
        <v>2486.25</v>
      </c>
      <c r="L92" s="3">
        <f>(K92/I92)</f>
        <v>3.0303030303030304E-2</v>
      </c>
      <c r="M92" s="2">
        <v>41548</v>
      </c>
      <c r="N92">
        <v>10</v>
      </c>
      <c r="O92" t="s">
        <v>5</v>
      </c>
      <c r="P92">
        <v>2013</v>
      </c>
    </row>
    <row r="93" spans="1:16" x14ac:dyDescent="0.25">
      <c r="A93" t="s">
        <v>8</v>
      </c>
      <c r="B93" t="s">
        <v>7</v>
      </c>
      <c r="C93" t="s">
        <v>27</v>
      </c>
      <c r="D93" t="s">
        <v>30</v>
      </c>
      <c r="E93">
        <v>120</v>
      </c>
      <c r="F93">
        <v>7</v>
      </c>
      <c r="G93">
        <v>14644</v>
      </c>
      <c r="H93">
        <v>146.44</v>
      </c>
      <c r="I93" s="1">
        <v>14497.56</v>
      </c>
      <c r="J93">
        <v>10460</v>
      </c>
      <c r="K93" s="1">
        <v>4037.5599999999995</v>
      </c>
      <c r="L93" s="3">
        <f>(K93/I93)</f>
        <v>0.27849927849927847</v>
      </c>
      <c r="M93" s="2">
        <v>41579</v>
      </c>
      <c r="N93">
        <v>11</v>
      </c>
      <c r="O93" t="s">
        <v>0</v>
      </c>
      <c r="P93">
        <v>2013</v>
      </c>
    </row>
    <row r="94" spans="1:16" x14ac:dyDescent="0.25">
      <c r="A94" t="s">
        <v>8</v>
      </c>
      <c r="B94" t="s">
        <v>19</v>
      </c>
      <c r="C94" t="s">
        <v>2</v>
      </c>
      <c r="D94" t="s">
        <v>30</v>
      </c>
      <c r="E94">
        <v>250</v>
      </c>
      <c r="F94">
        <v>7</v>
      </c>
      <c r="G94">
        <v>1841</v>
      </c>
      <c r="H94">
        <v>18.41</v>
      </c>
      <c r="I94" s="1">
        <v>1822.59</v>
      </c>
      <c r="J94">
        <v>1315</v>
      </c>
      <c r="K94" s="1">
        <v>507.58999999999992</v>
      </c>
      <c r="L94" s="3">
        <f>(K94/I94)</f>
        <v>0.27849927849927847</v>
      </c>
      <c r="M94" s="2">
        <v>41699</v>
      </c>
      <c r="N94">
        <v>3</v>
      </c>
      <c r="O94" t="s">
        <v>26</v>
      </c>
      <c r="P94">
        <v>2014</v>
      </c>
    </row>
    <row r="95" spans="1:16" x14ac:dyDescent="0.25">
      <c r="A95" t="s">
        <v>8</v>
      </c>
      <c r="B95" t="s">
        <v>7</v>
      </c>
      <c r="C95" t="s">
        <v>2</v>
      </c>
      <c r="D95" t="s">
        <v>30</v>
      </c>
      <c r="E95">
        <v>250</v>
      </c>
      <c r="F95">
        <v>350</v>
      </c>
      <c r="G95">
        <v>330225</v>
      </c>
      <c r="H95">
        <v>3302.25</v>
      </c>
      <c r="I95" s="1">
        <v>326922.75</v>
      </c>
      <c r="J95">
        <v>245310</v>
      </c>
      <c r="K95" s="1">
        <v>81612.75</v>
      </c>
      <c r="L95" s="3">
        <f>(K95/I95)</f>
        <v>0.24963924963924963</v>
      </c>
      <c r="M95" s="2">
        <v>41730</v>
      </c>
      <c r="N95">
        <v>4</v>
      </c>
      <c r="O95" t="s">
        <v>25</v>
      </c>
      <c r="P95">
        <v>2014</v>
      </c>
    </row>
    <row r="96" spans="1:16" x14ac:dyDescent="0.25">
      <c r="A96" t="s">
        <v>20</v>
      </c>
      <c r="B96" t="s">
        <v>3</v>
      </c>
      <c r="C96" t="s">
        <v>2</v>
      </c>
      <c r="D96" t="s">
        <v>30</v>
      </c>
      <c r="E96">
        <v>250</v>
      </c>
      <c r="F96">
        <v>125</v>
      </c>
      <c r="G96">
        <v>90875</v>
      </c>
      <c r="H96">
        <v>908.75</v>
      </c>
      <c r="I96" s="1">
        <v>89966.25</v>
      </c>
      <c r="J96">
        <v>87240</v>
      </c>
      <c r="K96" s="1">
        <v>2726.25</v>
      </c>
      <c r="L96" s="3">
        <f>(K96/I96)</f>
        <v>3.0303030303030304E-2</v>
      </c>
      <c r="M96" s="2">
        <v>41791</v>
      </c>
      <c r="N96">
        <v>6</v>
      </c>
      <c r="O96" t="s">
        <v>24</v>
      </c>
      <c r="P96">
        <v>2014</v>
      </c>
    </row>
    <row r="97" spans="1:16" x14ac:dyDescent="0.25">
      <c r="A97" t="s">
        <v>20</v>
      </c>
      <c r="B97" t="s">
        <v>16</v>
      </c>
      <c r="C97" t="s">
        <v>2</v>
      </c>
      <c r="D97" t="s">
        <v>30</v>
      </c>
      <c r="E97">
        <v>250</v>
      </c>
      <c r="F97">
        <v>125</v>
      </c>
      <c r="G97">
        <v>98375</v>
      </c>
      <c r="H97">
        <v>983.75</v>
      </c>
      <c r="I97" s="1">
        <v>97391.25</v>
      </c>
      <c r="J97">
        <v>94440</v>
      </c>
      <c r="K97" s="1">
        <v>2951.25</v>
      </c>
      <c r="L97" s="3">
        <f>(K97/I97)</f>
        <v>3.0303030303030304E-2</v>
      </c>
      <c r="M97" s="2">
        <v>41791</v>
      </c>
      <c r="N97">
        <v>6</v>
      </c>
      <c r="O97" t="s">
        <v>22</v>
      </c>
      <c r="P97">
        <v>2014</v>
      </c>
    </row>
    <row r="98" spans="1:16" x14ac:dyDescent="0.25">
      <c r="A98" t="s">
        <v>14</v>
      </c>
      <c r="B98" t="s">
        <v>19</v>
      </c>
      <c r="C98" t="s">
        <v>2</v>
      </c>
      <c r="D98" t="s">
        <v>30</v>
      </c>
      <c r="E98">
        <v>250</v>
      </c>
      <c r="F98">
        <v>300</v>
      </c>
      <c r="G98">
        <v>295800</v>
      </c>
      <c r="H98">
        <v>2958</v>
      </c>
      <c r="I98" s="1">
        <v>292842</v>
      </c>
      <c r="J98">
        <v>246500</v>
      </c>
      <c r="K98" s="1">
        <v>46342</v>
      </c>
      <c r="L98" s="3">
        <f>(K98/I98)</f>
        <v>0.15824915824915825</v>
      </c>
      <c r="M98" s="2">
        <v>41883</v>
      </c>
      <c r="N98">
        <v>9</v>
      </c>
      <c r="O98" t="s">
        <v>21</v>
      </c>
      <c r="P98">
        <v>2014</v>
      </c>
    </row>
    <row r="99" spans="1:16" x14ac:dyDescent="0.25">
      <c r="A99" t="s">
        <v>14</v>
      </c>
      <c r="B99" t="s">
        <v>11</v>
      </c>
      <c r="C99" t="s">
        <v>2</v>
      </c>
      <c r="D99" t="s">
        <v>30</v>
      </c>
      <c r="E99">
        <v>250</v>
      </c>
      <c r="F99">
        <v>300</v>
      </c>
      <c r="G99">
        <v>148200</v>
      </c>
      <c r="H99">
        <v>1482</v>
      </c>
      <c r="I99" s="1">
        <v>146718</v>
      </c>
      <c r="J99">
        <v>123500</v>
      </c>
      <c r="K99" s="1">
        <v>23218</v>
      </c>
      <c r="L99" s="3">
        <f>(K99/I99)</f>
        <v>0.15824915824915825</v>
      </c>
      <c r="M99" s="2">
        <v>41548</v>
      </c>
      <c r="N99">
        <v>10</v>
      </c>
      <c r="O99" t="s">
        <v>18</v>
      </c>
      <c r="P99">
        <v>2013</v>
      </c>
    </row>
    <row r="100" spans="1:16" x14ac:dyDescent="0.25">
      <c r="A100" t="s">
        <v>8</v>
      </c>
      <c r="B100" t="s">
        <v>11</v>
      </c>
      <c r="C100" t="s">
        <v>2</v>
      </c>
      <c r="D100" t="s">
        <v>30</v>
      </c>
      <c r="E100">
        <v>250</v>
      </c>
      <c r="F100">
        <v>350</v>
      </c>
      <c r="G100">
        <v>488950</v>
      </c>
      <c r="H100">
        <v>4889.5</v>
      </c>
      <c r="I100" s="1">
        <v>484060.5</v>
      </c>
      <c r="J100">
        <v>363220</v>
      </c>
      <c r="K100" s="1">
        <v>120840.5</v>
      </c>
      <c r="L100" s="3">
        <f>(K100/I100)</f>
        <v>0.24963924963924963</v>
      </c>
      <c r="M100" s="2">
        <v>41913</v>
      </c>
      <c r="N100">
        <v>10</v>
      </c>
      <c r="O100" t="s">
        <v>17</v>
      </c>
      <c r="P100">
        <v>2014</v>
      </c>
    </row>
    <row r="101" spans="1:16" x14ac:dyDescent="0.25">
      <c r="A101" t="s">
        <v>20</v>
      </c>
      <c r="B101" t="s">
        <v>16</v>
      </c>
      <c r="C101" t="s">
        <v>2</v>
      </c>
      <c r="D101" t="s">
        <v>30</v>
      </c>
      <c r="E101">
        <v>250</v>
      </c>
      <c r="F101">
        <v>125</v>
      </c>
      <c r="G101">
        <v>218000</v>
      </c>
      <c r="H101">
        <v>2180</v>
      </c>
      <c r="I101" s="1">
        <v>215820</v>
      </c>
      <c r="J101">
        <v>209280</v>
      </c>
      <c r="K101" s="1">
        <v>6540</v>
      </c>
      <c r="L101" s="3">
        <f>(K101/I101)</f>
        <v>3.0303030303030304E-2</v>
      </c>
      <c r="M101" s="2">
        <v>41944</v>
      </c>
      <c r="N101">
        <v>11</v>
      </c>
      <c r="O101" t="s">
        <v>15</v>
      </c>
      <c r="P101">
        <v>2014</v>
      </c>
    </row>
    <row r="102" spans="1:16" x14ac:dyDescent="0.25">
      <c r="A102" t="s">
        <v>4</v>
      </c>
      <c r="B102" t="s">
        <v>3</v>
      </c>
      <c r="C102" t="s">
        <v>13</v>
      </c>
      <c r="D102" t="s">
        <v>30</v>
      </c>
      <c r="E102">
        <v>260</v>
      </c>
      <c r="F102">
        <v>12</v>
      </c>
      <c r="G102">
        <v>23868</v>
      </c>
      <c r="H102">
        <v>238.68</v>
      </c>
      <c r="I102" s="1">
        <v>23629.32</v>
      </c>
      <c r="J102">
        <v>5967</v>
      </c>
      <c r="K102" s="1">
        <v>17662.32</v>
      </c>
      <c r="L102" s="3">
        <f>(K102/I102)</f>
        <v>0.74747474747474751</v>
      </c>
      <c r="M102" s="2">
        <v>41518</v>
      </c>
      <c r="N102">
        <v>9</v>
      </c>
      <c r="O102" t="s">
        <v>12</v>
      </c>
      <c r="P102">
        <v>2013</v>
      </c>
    </row>
    <row r="103" spans="1:16" x14ac:dyDescent="0.25">
      <c r="A103" t="s">
        <v>23</v>
      </c>
      <c r="B103" t="s">
        <v>16</v>
      </c>
      <c r="C103" t="s">
        <v>13</v>
      </c>
      <c r="D103" t="s">
        <v>30</v>
      </c>
      <c r="E103">
        <v>260</v>
      </c>
      <c r="F103">
        <v>15</v>
      </c>
      <c r="G103">
        <v>4815</v>
      </c>
      <c r="H103">
        <v>48.15</v>
      </c>
      <c r="I103" s="1">
        <v>4766.8500000000004</v>
      </c>
      <c r="J103">
        <v>3210</v>
      </c>
      <c r="K103" s="1">
        <v>1556.8500000000004</v>
      </c>
      <c r="L103" s="3">
        <f>(K103/I103)</f>
        <v>0.32659932659932667</v>
      </c>
      <c r="M103" s="2">
        <v>41579</v>
      </c>
      <c r="N103">
        <v>11</v>
      </c>
      <c r="O103" t="s">
        <v>9</v>
      </c>
      <c r="P103">
        <v>2013</v>
      </c>
    </row>
    <row r="104" spans="1:16" x14ac:dyDescent="0.25">
      <c r="A104" t="s">
        <v>20</v>
      </c>
      <c r="B104" t="s">
        <v>7</v>
      </c>
      <c r="C104" t="s">
        <v>28</v>
      </c>
      <c r="D104" t="s">
        <v>30</v>
      </c>
      <c r="E104">
        <v>3</v>
      </c>
      <c r="F104">
        <v>125</v>
      </c>
      <c r="G104">
        <v>92812.5</v>
      </c>
      <c r="H104">
        <v>1856.25</v>
      </c>
      <c r="I104" s="1">
        <v>90956.25</v>
      </c>
      <c r="J104">
        <v>89100</v>
      </c>
      <c r="K104" s="1">
        <v>1856.25</v>
      </c>
      <c r="L104" s="3">
        <f>(K104/I104)</f>
        <v>2.0408163265306121E-2</v>
      </c>
      <c r="M104" s="2">
        <v>41730</v>
      </c>
      <c r="N104">
        <v>4</v>
      </c>
      <c r="O104" t="s">
        <v>5</v>
      </c>
      <c r="P104">
        <v>2014</v>
      </c>
    </row>
    <row r="105" spans="1:16" x14ac:dyDescent="0.25">
      <c r="A105" t="s">
        <v>4</v>
      </c>
      <c r="B105" t="s">
        <v>7</v>
      </c>
      <c r="C105" t="s">
        <v>28</v>
      </c>
      <c r="D105" t="s">
        <v>30</v>
      </c>
      <c r="E105">
        <v>3</v>
      </c>
      <c r="F105">
        <v>12</v>
      </c>
      <c r="G105">
        <v>15540</v>
      </c>
      <c r="H105">
        <v>310.8</v>
      </c>
      <c r="I105" s="1">
        <v>15229.2</v>
      </c>
      <c r="J105">
        <v>3885</v>
      </c>
      <c r="K105" s="1">
        <v>11344.2</v>
      </c>
      <c r="L105" s="3">
        <f>(K105/I105)</f>
        <v>0.74489795918367352</v>
      </c>
      <c r="M105" s="2">
        <v>41913</v>
      </c>
      <c r="N105">
        <v>10</v>
      </c>
      <c r="O105" t="s">
        <v>0</v>
      </c>
      <c r="P105">
        <v>2014</v>
      </c>
    </row>
    <row r="106" spans="1:16" x14ac:dyDescent="0.25">
      <c r="A106" t="s">
        <v>14</v>
      </c>
      <c r="B106" t="s">
        <v>19</v>
      </c>
      <c r="C106" t="s">
        <v>28</v>
      </c>
      <c r="D106" t="s">
        <v>30</v>
      </c>
      <c r="E106">
        <v>3</v>
      </c>
      <c r="F106">
        <v>300</v>
      </c>
      <c r="G106">
        <v>64200</v>
      </c>
      <c r="H106">
        <v>1284</v>
      </c>
      <c r="I106" s="1">
        <v>62916</v>
      </c>
      <c r="J106">
        <v>53500</v>
      </c>
      <c r="K106" s="1">
        <v>9416</v>
      </c>
      <c r="L106" s="3">
        <f>(K106/I106)</f>
        <v>0.14965986394557823</v>
      </c>
      <c r="M106" s="2">
        <v>41548</v>
      </c>
      <c r="N106">
        <v>10</v>
      </c>
      <c r="O106" t="s">
        <v>26</v>
      </c>
      <c r="P106">
        <v>2013</v>
      </c>
    </row>
    <row r="107" spans="1:16" x14ac:dyDescent="0.25">
      <c r="A107" t="s">
        <v>8</v>
      </c>
      <c r="B107" t="s">
        <v>16</v>
      </c>
      <c r="C107" t="s">
        <v>28</v>
      </c>
      <c r="D107" t="s">
        <v>30</v>
      </c>
      <c r="E107">
        <v>3</v>
      </c>
      <c r="F107">
        <v>7</v>
      </c>
      <c r="G107">
        <v>15015</v>
      </c>
      <c r="H107">
        <v>300.3</v>
      </c>
      <c r="I107" s="1">
        <v>14714.7</v>
      </c>
      <c r="J107">
        <v>10725</v>
      </c>
      <c r="K107" s="1">
        <v>3989.7000000000007</v>
      </c>
      <c r="L107" s="3">
        <f>(K107/I107)</f>
        <v>0.2711370262390671</v>
      </c>
      <c r="M107" s="2">
        <v>41579</v>
      </c>
      <c r="N107">
        <v>11</v>
      </c>
      <c r="O107" t="s">
        <v>25</v>
      </c>
      <c r="P107">
        <v>2013</v>
      </c>
    </row>
    <row r="108" spans="1:16" x14ac:dyDescent="0.25">
      <c r="A108" t="s">
        <v>8</v>
      </c>
      <c r="B108" t="s">
        <v>7</v>
      </c>
      <c r="C108" t="s">
        <v>28</v>
      </c>
      <c r="D108" t="s">
        <v>30</v>
      </c>
      <c r="E108">
        <v>3</v>
      </c>
      <c r="F108">
        <v>350</v>
      </c>
      <c r="G108">
        <v>998200</v>
      </c>
      <c r="H108">
        <v>19964</v>
      </c>
      <c r="I108" s="1">
        <v>978236</v>
      </c>
      <c r="J108">
        <v>741520</v>
      </c>
      <c r="K108" s="1">
        <v>236716</v>
      </c>
      <c r="L108" s="3">
        <f>(K108/I108)</f>
        <v>0.24198250728862974</v>
      </c>
      <c r="M108" s="2">
        <v>41974</v>
      </c>
      <c r="N108">
        <v>12</v>
      </c>
      <c r="O108" t="s">
        <v>24</v>
      </c>
      <c r="P108">
        <v>2014</v>
      </c>
    </row>
    <row r="109" spans="1:16" x14ac:dyDescent="0.25">
      <c r="A109" t="s">
        <v>4</v>
      </c>
      <c r="B109" t="s">
        <v>3</v>
      </c>
      <c r="C109" t="s">
        <v>10</v>
      </c>
      <c r="D109" t="s">
        <v>30</v>
      </c>
      <c r="E109">
        <v>5</v>
      </c>
      <c r="F109">
        <v>12</v>
      </c>
      <c r="G109">
        <v>13704</v>
      </c>
      <c r="H109">
        <v>274.08</v>
      </c>
      <c r="I109" s="1">
        <v>13429.92</v>
      </c>
      <c r="J109">
        <v>3426</v>
      </c>
      <c r="K109" s="1">
        <v>10003.92</v>
      </c>
      <c r="L109" s="3">
        <f>(K109/I109)</f>
        <v>0.74489795918367352</v>
      </c>
      <c r="M109" s="2">
        <v>41791</v>
      </c>
      <c r="N109">
        <v>6</v>
      </c>
      <c r="O109" t="s">
        <v>22</v>
      </c>
      <c r="P109">
        <v>2014</v>
      </c>
    </row>
    <row r="110" spans="1:16" x14ac:dyDescent="0.25">
      <c r="A110" t="s">
        <v>8</v>
      </c>
      <c r="B110" t="s">
        <v>3</v>
      </c>
      <c r="C110" t="s">
        <v>10</v>
      </c>
      <c r="D110" t="s">
        <v>30</v>
      </c>
      <c r="E110">
        <v>5</v>
      </c>
      <c r="F110">
        <v>20</v>
      </c>
      <c r="G110">
        <v>31320</v>
      </c>
      <c r="H110">
        <v>626.4</v>
      </c>
      <c r="I110" s="1">
        <v>30693.599999999999</v>
      </c>
      <c r="J110">
        <v>15660</v>
      </c>
      <c r="K110" s="1">
        <v>15033.599999999999</v>
      </c>
      <c r="L110" s="3">
        <f>(K110/I110)</f>
        <v>0.48979591836734693</v>
      </c>
      <c r="M110" s="2">
        <v>41913</v>
      </c>
      <c r="N110">
        <v>10</v>
      </c>
      <c r="O110" t="s">
        <v>21</v>
      </c>
      <c r="P110">
        <v>2014</v>
      </c>
    </row>
    <row r="111" spans="1:16" x14ac:dyDescent="0.25">
      <c r="A111" t="s">
        <v>4</v>
      </c>
      <c r="B111" t="s">
        <v>11</v>
      </c>
      <c r="C111" t="s">
        <v>10</v>
      </c>
      <c r="D111" t="s">
        <v>30</v>
      </c>
      <c r="E111">
        <v>5</v>
      </c>
      <c r="F111">
        <v>12</v>
      </c>
      <c r="G111">
        <v>8280</v>
      </c>
      <c r="H111">
        <v>165.6</v>
      </c>
      <c r="I111" s="1">
        <v>8114.4</v>
      </c>
      <c r="J111">
        <v>2070</v>
      </c>
      <c r="K111" s="1">
        <v>6044.4</v>
      </c>
      <c r="L111" s="3">
        <f>(K111/I111)</f>
        <v>0.74489795918367341</v>
      </c>
      <c r="M111" s="2">
        <v>41944</v>
      </c>
      <c r="N111">
        <v>11</v>
      </c>
      <c r="O111" t="s">
        <v>18</v>
      </c>
      <c r="P111">
        <v>2014</v>
      </c>
    </row>
    <row r="112" spans="1:16" x14ac:dyDescent="0.25">
      <c r="A112" t="s">
        <v>20</v>
      </c>
      <c r="B112" t="s">
        <v>11</v>
      </c>
      <c r="C112" t="s">
        <v>10</v>
      </c>
      <c r="D112" t="s">
        <v>30</v>
      </c>
      <c r="E112">
        <v>5</v>
      </c>
      <c r="F112">
        <v>125</v>
      </c>
      <c r="G112">
        <v>207500</v>
      </c>
      <c r="H112">
        <v>4150</v>
      </c>
      <c r="I112" s="1">
        <v>203350</v>
      </c>
      <c r="J112">
        <v>199200</v>
      </c>
      <c r="K112" s="1">
        <v>4150</v>
      </c>
      <c r="L112" s="3">
        <f>(K112/I112)</f>
        <v>2.0408163265306121E-2</v>
      </c>
      <c r="M112" s="2">
        <v>41579</v>
      </c>
      <c r="N112">
        <v>11</v>
      </c>
      <c r="O112" t="s">
        <v>17</v>
      </c>
      <c r="P112">
        <v>2013</v>
      </c>
    </row>
    <row r="113" spans="1:16" x14ac:dyDescent="0.25">
      <c r="A113" t="s">
        <v>23</v>
      </c>
      <c r="B113" t="s">
        <v>7</v>
      </c>
      <c r="C113" t="s">
        <v>6</v>
      </c>
      <c r="D113" t="s">
        <v>30</v>
      </c>
      <c r="E113">
        <v>10</v>
      </c>
      <c r="F113">
        <v>15</v>
      </c>
      <c r="G113">
        <v>35445</v>
      </c>
      <c r="H113">
        <v>708.9</v>
      </c>
      <c r="I113" s="1">
        <v>34736.1</v>
      </c>
      <c r="J113">
        <v>23630</v>
      </c>
      <c r="K113" s="1">
        <v>11106.099999999999</v>
      </c>
      <c r="L113" s="3">
        <f>(K113/I113)</f>
        <v>0.31972789115646255</v>
      </c>
      <c r="M113" s="2">
        <v>41671</v>
      </c>
      <c r="N113">
        <v>2</v>
      </c>
      <c r="O113" t="s">
        <v>15</v>
      </c>
      <c r="P113">
        <v>2014</v>
      </c>
    </row>
    <row r="114" spans="1:16" x14ac:dyDescent="0.25">
      <c r="A114" t="s">
        <v>14</v>
      </c>
      <c r="B114" t="s">
        <v>16</v>
      </c>
      <c r="C114" t="s">
        <v>6</v>
      </c>
      <c r="D114" t="s">
        <v>30</v>
      </c>
      <c r="E114">
        <v>10</v>
      </c>
      <c r="F114">
        <v>300</v>
      </c>
      <c r="G114">
        <v>275400</v>
      </c>
      <c r="H114">
        <v>5508</v>
      </c>
      <c r="I114" s="1">
        <v>269892</v>
      </c>
      <c r="J114">
        <v>229500</v>
      </c>
      <c r="K114" s="1">
        <v>40392</v>
      </c>
      <c r="L114" s="3">
        <f>(K114/I114)</f>
        <v>0.14965986394557823</v>
      </c>
      <c r="M114" s="2">
        <v>41760</v>
      </c>
      <c r="N114">
        <v>5</v>
      </c>
      <c r="O114" t="s">
        <v>12</v>
      </c>
      <c r="P114">
        <v>2014</v>
      </c>
    </row>
    <row r="115" spans="1:16" x14ac:dyDescent="0.25">
      <c r="A115" t="s">
        <v>14</v>
      </c>
      <c r="B115" t="s">
        <v>19</v>
      </c>
      <c r="C115" t="s">
        <v>6</v>
      </c>
      <c r="D115" t="s">
        <v>30</v>
      </c>
      <c r="E115">
        <v>10</v>
      </c>
      <c r="F115">
        <v>300</v>
      </c>
      <c r="G115">
        <v>518400</v>
      </c>
      <c r="H115">
        <v>10368</v>
      </c>
      <c r="I115" s="1">
        <v>508032</v>
      </c>
      <c r="J115">
        <v>432000</v>
      </c>
      <c r="K115" s="1">
        <v>76032</v>
      </c>
      <c r="L115" s="3">
        <f>(K115/I115)</f>
        <v>0.14965986394557823</v>
      </c>
      <c r="M115" s="2">
        <v>41760</v>
      </c>
      <c r="N115">
        <v>5</v>
      </c>
      <c r="O115" t="s">
        <v>9</v>
      </c>
      <c r="P115">
        <v>2014</v>
      </c>
    </row>
    <row r="116" spans="1:16" x14ac:dyDescent="0.25">
      <c r="A116" t="s">
        <v>4</v>
      </c>
      <c r="B116" t="s">
        <v>3</v>
      </c>
      <c r="C116" t="s">
        <v>6</v>
      </c>
      <c r="D116" t="s">
        <v>30</v>
      </c>
      <c r="E116">
        <v>10</v>
      </c>
      <c r="F116">
        <v>12</v>
      </c>
      <c r="G116">
        <v>13704</v>
      </c>
      <c r="H116">
        <v>274.08</v>
      </c>
      <c r="I116" s="1">
        <v>13429.92</v>
      </c>
      <c r="J116">
        <v>3426</v>
      </c>
      <c r="K116" s="1">
        <v>10003.92</v>
      </c>
      <c r="L116" s="3">
        <f>(K116/I116)</f>
        <v>0.74489795918367352</v>
      </c>
      <c r="M116" s="2">
        <v>41791</v>
      </c>
      <c r="N116">
        <v>6</v>
      </c>
      <c r="O116" t="s">
        <v>5</v>
      </c>
      <c r="P116">
        <v>2014</v>
      </c>
    </row>
    <row r="117" spans="1:16" x14ac:dyDescent="0.25">
      <c r="A117" t="s">
        <v>20</v>
      </c>
      <c r="B117" t="s">
        <v>11</v>
      </c>
      <c r="C117" t="s">
        <v>6</v>
      </c>
      <c r="D117" t="s">
        <v>30</v>
      </c>
      <c r="E117">
        <v>10</v>
      </c>
      <c r="F117">
        <v>125</v>
      </c>
      <c r="G117">
        <v>82750</v>
      </c>
      <c r="H117">
        <v>1655</v>
      </c>
      <c r="I117" s="1">
        <v>81095</v>
      </c>
      <c r="J117">
        <v>79440</v>
      </c>
      <c r="K117" s="1">
        <v>1655</v>
      </c>
      <c r="L117" s="3">
        <f>(K117/I117)</f>
        <v>2.0408163265306121E-2</v>
      </c>
      <c r="M117" s="2">
        <v>41791</v>
      </c>
      <c r="N117">
        <v>6</v>
      </c>
      <c r="O117" t="s">
        <v>0</v>
      </c>
      <c r="P117">
        <v>2014</v>
      </c>
    </row>
    <row r="118" spans="1:16" x14ac:dyDescent="0.25">
      <c r="A118" t="s">
        <v>4</v>
      </c>
      <c r="B118" t="s">
        <v>7</v>
      </c>
      <c r="C118" t="s">
        <v>6</v>
      </c>
      <c r="D118" t="s">
        <v>30</v>
      </c>
      <c r="E118">
        <v>10</v>
      </c>
      <c r="F118">
        <v>12</v>
      </c>
      <c r="G118">
        <v>15540</v>
      </c>
      <c r="H118">
        <v>310.8</v>
      </c>
      <c r="I118" s="1">
        <v>15229.2</v>
      </c>
      <c r="J118">
        <v>3885</v>
      </c>
      <c r="K118" s="1">
        <v>11344.2</v>
      </c>
      <c r="L118" s="3">
        <f>(K118/I118)</f>
        <v>0.74489795918367352</v>
      </c>
      <c r="M118" s="2">
        <v>41913</v>
      </c>
      <c r="N118">
        <v>10</v>
      </c>
      <c r="O118" t="s">
        <v>26</v>
      </c>
      <c r="P118">
        <v>2014</v>
      </c>
    </row>
    <row r="119" spans="1:16" x14ac:dyDescent="0.25">
      <c r="A119" t="s">
        <v>20</v>
      </c>
      <c r="B119" t="s">
        <v>19</v>
      </c>
      <c r="C119" t="s">
        <v>6</v>
      </c>
      <c r="D119" t="s">
        <v>30</v>
      </c>
      <c r="E119">
        <v>10</v>
      </c>
      <c r="F119">
        <v>125</v>
      </c>
      <c r="G119">
        <v>101125</v>
      </c>
      <c r="H119">
        <v>2022.5</v>
      </c>
      <c r="I119" s="1">
        <v>99102.5</v>
      </c>
      <c r="J119">
        <v>97080</v>
      </c>
      <c r="K119" s="1">
        <v>2022.5</v>
      </c>
      <c r="L119" s="3">
        <f>(K119/I119)</f>
        <v>2.0408163265306121E-2</v>
      </c>
      <c r="M119" s="2">
        <v>41548</v>
      </c>
      <c r="N119">
        <v>10</v>
      </c>
      <c r="O119" t="s">
        <v>25</v>
      </c>
      <c r="P119">
        <v>2013</v>
      </c>
    </row>
    <row r="120" spans="1:16" x14ac:dyDescent="0.25">
      <c r="A120" t="s">
        <v>20</v>
      </c>
      <c r="B120" t="s">
        <v>11</v>
      </c>
      <c r="C120" t="s">
        <v>6</v>
      </c>
      <c r="D120" t="s">
        <v>30</v>
      </c>
      <c r="E120">
        <v>10</v>
      </c>
      <c r="F120">
        <v>125</v>
      </c>
      <c r="G120">
        <v>268125</v>
      </c>
      <c r="H120">
        <v>5362.5</v>
      </c>
      <c r="I120" s="1">
        <v>262762.5</v>
      </c>
      <c r="J120">
        <v>257400</v>
      </c>
      <c r="K120" s="1">
        <v>5362.5</v>
      </c>
      <c r="L120" s="3">
        <f>(K120/I120)</f>
        <v>2.0408163265306121E-2</v>
      </c>
      <c r="M120" s="2">
        <v>41548</v>
      </c>
      <c r="N120">
        <v>10</v>
      </c>
      <c r="O120" t="s">
        <v>24</v>
      </c>
      <c r="P120">
        <v>2013</v>
      </c>
    </row>
    <row r="121" spans="1:16" x14ac:dyDescent="0.25">
      <c r="A121" t="s">
        <v>4</v>
      </c>
      <c r="B121" t="s">
        <v>16</v>
      </c>
      <c r="C121" t="s">
        <v>6</v>
      </c>
      <c r="D121" t="s">
        <v>30</v>
      </c>
      <c r="E121">
        <v>10</v>
      </c>
      <c r="F121">
        <v>12</v>
      </c>
      <c r="G121">
        <v>21420</v>
      </c>
      <c r="H121">
        <v>428.4</v>
      </c>
      <c r="I121" s="1">
        <v>20991.599999999999</v>
      </c>
      <c r="J121">
        <v>5355</v>
      </c>
      <c r="K121" s="1">
        <v>15636.599999999999</v>
      </c>
      <c r="L121" s="3">
        <f>(K121/I121)</f>
        <v>0.74489795918367341</v>
      </c>
      <c r="M121" s="2">
        <v>41579</v>
      </c>
      <c r="N121">
        <v>11</v>
      </c>
      <c r="O121" t="s">
        <v>22</v>
      </c>
      <c r="P121">
        <v>2013</v>
      </c>
    </row>
    <row r="122" spans="1:16" x14ac:dyDescent="0.25">
      <c r="A122" t="s">
        <v>14</v>
      </c>
      <c r="B122" t="s">
        <v>7</v>
      </c>
      <c r="C122" t="s">
        <v>6</v>
      </c>
      <c r="D122" t="s">
        <v>30</v>
      </c>
      <c r="E122">
        <v>10</v>
      </c>
      <c r="F122">
        <v>300</v>
      </c>
      <c r="G122">
        <v>574800</v>
      </c>
      <c r="H122">
        <v>11496</v>
      </c>
      <c r="I122" s="1">
        <v>563304</v>
      </c>
      <c r="J122">
        <v>479000</v>
      </c>
      <c r="K122" s="1">
        <v>84304</v>
      </c>
      <c r="L122" s="3">
        <f>(K122/I122)</f>
        <v>0.14965986394557823</v>
      </c>
      <c r="M122" s="2">
        <v>41974</v>
      </c>
      <c r="N122">
        <v>12</v>
      </c>
      <c r="O122" t="s">
        <v>21</v>
      </c>
      <c r="P122">
        <v>2014</v>
      </c>
    </row>
    <row r="123" spans="1:16" x14ac:dyDescent="0.25">
      <c r="A123" t="s">
        <v>8</v>
      </c>
      <c r="B123" t="s">
        <v>7</v>
      </c>
      <c r="C123" t="s">
        <v>6</v>
      </c>
      <c r="D123" t="s">
        <v>30</v>
      </c>
      <c r="E123">
        <v>10</v>
      </c>
      <c r="F123">
        <v>350</v>
      </c>
      <c r="G123">
        <v>998200</v>
      </c>
      <c r="H123">
        <v>19964</v>
      </c>
      <c r="I123" s="1">
        <v>978236</v>
      </c>
      <c r="J123">
        <v>741520</v>
      </c>
      <c r="K123" s="1">
        <v>236716</v>
      </c>
      <c r="L123" s="3">
        <f>(K123/I123)</f>
        <v>0.24198250728862974</v>
      </c>
      <c r="M123" s="2">
        <v>41974</v>
      </c>
      <c r="N123">
        <v>12</v>
      </c>
      <c r="O123" t="s">
        <v>18</v>
      </c>
      <c r="P123">
        <v>2014</v>
      </c>
    </row>
    <row r="124" spans="1:16" x14ac:dyDescent="0.25">
      <c r="A124" t="s">
        <v>20</v>
      </c>
      <c r="B124" t="s">
        <v>7</v>
      </c>
      <c r="C124" t="s">
        <v>6</v>
      </c>
      <c r="D124" t="s">
        <v>30</v>
      </c>
      <c r="E124">
        <v>10</v>
      </c>
      <c r="F124">
        <v>125</v>
      </c>
      <c r="G124">
        <v>341125</v>
      </c>
      <c r="H124">
        <v>6822.5</v>
      </c>
      <c r="I124" s="1">
        <v>334302.5</v>
      </c>
      <c r="J124">
        <v>327480</v>
      </c>
      <c r="K124" s="1">
        <v>6822.5</v>
      </c>
      <c r="L124" s="3">
        <f>(K124/I124)</f>
        <v>2.0408163265306121E-2</v>
      </c>
      <c r="M124" s="2">
        <v>41974</v>
      </c>
      <c r="N124">
        <v>12</v>
      </c>
      <c r="O124" t="s">
        <v>17</v>
      </c>
      <c r="P124">
        <v>2014</v>
      </c>
    </row>
    <row r="125" spans="1:16" x14ac:dyDescent="0.25">
      <c r="A125" t="s">
        <v>23</v>
      </c>
      <c r="B125" t="s">
        <v>3</v>
      </c>
      <c r="C125" t="s">
        <v>6</v>
      </c>
      <c r="D125" t="s">
        <v>30</v>
      </c>
      <c r="E125">
        <v>10</v>
      </c>
      <c r="F125">
        <v>15</v>
      </c>
      <c r="G125">
        <v>28875</v>
      </c>
      <c r="H125">
        <v>577.5</v>
      </c>
      <c r="I125" s="1">
        <v>28297.5</v>
      </c>
      <c r="J125">
        <v>19250</v>
      </c>
      <c r="K125" s="1">
        <v>9047.5</v>
      </c>
      <c r="L125" s="3">
        <f>(K125/I125)</f>
        <v>0.31972789115646261</v>
      </c>
      <c r="M125" s="2">
        <v>41609</v>
      </c>
      <c r="N125">
        <v>12</v>
      </c>
      <c r="O125" t="s">
        <v>15</v>
      </c>
      <c r="P125">
        <v>2013</v>
      </c>
    </row>
    <row r="126" spans="1:16" x14ac:dyDescent="0.25">
      <c r="A126" t="s">
        <v>8</v>
      </c>
      <c r="B126" t="s">
        <v>3</v>
      </c>
      <c r="C126" t="s">
        <v>6</v>
      </c>
      <c r="D126" t="s">
        <v>30</v>
      </c>
      <c r="E126">
        <v>10</v>
      </c>
      <c r="F126">
        <v>7</v>
      </c>
      <c r="G126">
        <v>14091</v>
      </c>
      <c r="H126">
        <v>281.82</v>
      </c>
      <c r="I126" s="1">
        <v>13809.18</v>
      </c>
      <c r="J126">
        <v>10065</v>
      </c>
      <c r="K126" s="1">
        <v>3744.1800000000003</v>
      </c>
      <c r="L126" s="3">
        <f>(K126/I126)</f>
        <v>0.27113702623906705</v>
      </c>
      <c r="M126" s="2">
        <v>41609</v>
      </c>
      <c r="N126">
        <v>12</v>
      </c>
      <c r="O126" t="s">
        <v>12</v>
      </c>
      <c r="P126">
        <v>2013</v>
      </c>
    </row>
    <row r="127" spans="1:16" x14ac:dyDescent="0.25">
      <c r="A127" t="s">
        <v>4</v>
      </c>
      <c r="B127" t="s">
        <v>16</v>
      </c>
      <c r="C127" t="s">
        <v>6</v>
      </c>
      <c r="D127" t="s">
        <v>30</v>
      </c>
      <c r="E127">
        <v>10</v>
      </c>
      <c r="F127">
        <v>12</v>
      </c>
      <c r="G127">
        <v>12660</v>
      </c>
      <c r="H127">
        <v>253.2</v>
      </c>
      <c r="I127" s="1">
        <v>12406.8</v>
      </c>
      <c r="J127">
        <v>3165</v>
      </c>
      <c r="K127" s="1">
        <v>9241.7999999999993</v>
      </c>
      <c r="L127" s="3">
        <f>(K127/I127)</f>
        <v>0.74489795918367341</v>
      </c>
      <c r="M127" s="2">
        <v>41974</v>
      </c>
      <c r="N127">
        <v>12</v>
      </c>
      <c r="O127" t="s">
        <v>9</v>
      </c>
      <c r="P127">
        <v>2014</v>
      </c>
    </row>
    <row r="128" spans="1:16" x14ac:dyDescent="0.25">
      <c r="A128" t="s">
        <v>4</v>
      </c>
      <c r="B128" t="s">
        <v>11</v>
      </c>
      <c r="C128" t="s">
        <v>6</v>
      </c>
      <c r="D128" t="s">
        <v>30</v>
      </c>
      <c r="E128">
        <v>10</v>
      </c>
      <c r="F128">
        <v>12</v>
      </c>
      <c r="G128">
        <v>13008</v>
      </c>
      <c r="H128">
        <v>260.16000000000003</v>
      </c>
      <c r="I128" s="1">
        <v>12747.84</v>
      </c>
      <c r="J128">
        <v>3252</v>
      </c>
      <c r="K128" s="1">
        <v>9495.84</v>
      </c>
      <c r="L128" s="3">
        <f>(K128/I128)</f>
        <v>0.74489795918367352</v>
      </c>
      <c r="M128" s="2">
        <v>41974</v>
      </c>
      <c r="N128">
        <v>12</v>
      </c>
      <c r="O128" t="s">
        <v>5</v>
      </c>
      <c r="P128">
        <v>2014</v>
      </c>
    </row>
    <row r="129" spans="1:16" x14ac:dyDescent="0.25">
      <c r="A129" t="s">
        <v>8</v>
      </c>
      <c r="B129" t="s">
        <v>3</v>
      </c>
      <c r="C129" t="s">
        <v>27</v>
      </c>
      <c r="D129" t="s">
        <v>30</v>
      </c>
      <c r="E129">
        <v>120</v>
      </c>
      <c r="F129">
        <v>20</v>
      </c>
      <c r="G129">
        <v>31320</v>
      </c>
      <c r="H129">
        <v>626.4</v>
      </c>
      <c r="I129" s="1">
        <v>30693.599999999999</v>
      </c>
      <c r="J129">
        <v>15660</v>
      </c>
      <c r="K129" s="1">
        <v>15033.599999999999</v>
      </c>
      <c r="L129" s="3">
        <f>(K129/I129)</f>
        <v>0.48979591836734693</v>
      </c>
      <c r="M129" s="2">
        <v>41913</v>
      </c>
      <c r="N129">
        <v>10</v>
      </c>
      <c r="O129" t="s">
        <v>0</v>
      </c>
      <c r="P129">
        <v>2014</v>
      </c>
    </row>
    <row r="130" spans="1:16" x14ac:dyDescent="0.25">
      <c r="A130" t="s">
        <v>8</v>
      </c>
      <c r="B130" t="s">
        <v>19</v>
      </c>
      <c r="C130" t="s">
        <v>27</v>
      </c>
      <c r="D130" t="s">
        <v>30</v>
      </c>
      <c r="E130">
        <v>120</v>
      </c>
      <c r="F130">
        <v>350</v>
      </c>
      <c r="G130">
        <v>1038100</v>
      </c>
      <c r="H130">
        <v>20762</v>
      </c>
      <c r="I130" s="1">
        <v>1017338</v>
      </c>
      <c r="J130">
        <v>771160</v>
      </c>
      <c r="K130" s="1">
        <v>246178</v>
      </c>
      <c r="L130" s="3">
        <f>(K130/I130)</f>
        <v>0.24198250728862974</v>
      </c>
      <c r="M130" s="2">
        <v>41548</v>
      </c>
      <c r="N130">
        <v>10</v>
      </c>
      <c r="O130" t="s">
        <v>26</v>
      </c>
      <c r="P130">
        <v>2013</v>
      </c>
    </row>
    <row r="131" spans="1:16" x14ac:dyDescent="0.25">
      <c r="A131" t="s">
        <v>8</v>
      </c>
      <c r="B131" t="s">
        <v>19</v>
      </c>
      <c r="C131" t="s">
        <v>27</v>
      </c>
      <c r="D131" t="s">
        <v>30</v>
      </c>
      <c r="E131">
        <v>120</v>
      </c>
      <c r="F131">
        <v>350</v>
      </c>
      <c r="G131">
        <v>1006950</v>
      </c>
      <c r="H131">
        <v>20139</v>
      </c>
      <c r="I131" s="1">
        <v>986811</v>
      </c>
      <c r="J131">
        <v>748020</v>
      </c>
      <c r="K131" s="1">
        <v>238791</v>
      </c>
      <c r="L131" s="3">
        <f>(K131/I131)</f>
        <v>0.24198250728862974</v>
      </c>
      <c r="M131" s="2">
        <v>41913</v>
      </c>
      <c r="N131">
        <v>10</v>
      </c>
      <c r="O131" t="s">
        <v>25</v>
      </c>
      <c r="P131">
        <v>2014</v>
      </c>
    </row>
    <row r="132" spans="1:16" x14ac:dyDescent="0.25">
      <c r="A132" t="s">
        <v>20</v>
      </c>
      <c r="B132" t="s">
        <v>19</v>
      </c>
      <c r="C132" t="s">
        <v>27</v>
      </c>
      <c r="D132" t="s">
        <v>30</v>
      </c>
      <c r="E132">
        <v>120</v>
      </c>
      <c r="F132">
        <v>125</v>
      </c>
      <c r="G132">
        <v>101125</v>
      </c>
      <c r="H132">
        <v>2022.5</v>
      </c>
      <c r="I132" s="1">
        <v>99102.5</v>
      </c>
      <c r="J132">
        <v>97080</v>
      </c>
      <c r="K132" s="1">
        <v>2022.5</v>
      </c>
      <c r="L132" s="3">
        <f>(K132/I132)</f>
        <v>2.0408163265306121E-2</v>
      </c>
      <c r="M132" s="2">
        <v>41548</v>
      </c>
      <c r="N132">
        <v>10</v>
      </c>
      <c r="O132" t="s">
        <v>24</v>
      </c>
      <c r="P132">
        <v>2013</v>
      </c>
    </row>
    <row r="133" spans="1:16" x14ac:dyDescent="0.25">
      <c r="A133" t="s">
        <v>20</v>
      </c>
      <c r="B133" t="s">
        <v>11</v>
      </c>
      <c r="C133" t="s">
        <v>27</v>
      </c>
      <c r="D133" t="s">
        <v>30</v>
      </c>
      <c r="E133">
        <v>120</v>
      </c>
      <c r="F133">
        <v>125</v>
      </c>
      <c r="G133">
        <v>268125</v>
      </c>
      <c r="H133">
        <v>5362.5</v>
      </c>
      <c r="I133" s="1">
        <v>262762.5</v>
      </c>
      <c r="J133">
        <v>257400</v>
      </c>
      <c r="K133" s="1">
        <v>5362.5</v>
      </c>
      <c r="L133" s="3">
        <f>(K133/I133)</f>
        <v>2.0408163265306121E-2</v>
      </c>
      <c r="M133" s="2">
        <v>41548</v>
      </c>
      <c r="N133">
        <v>10</v>
      </c>
      <c r="O133" t="s">
        <v>22</v>
      </c>
      <c r="P133">
        <v>2013</v>
      </c>
    </row>
    <row r="134" spans="1:16" x14ac:dyDescent="0.25">
      <c r="A134" t="s">
        <v>4</v>
      </c>
      <c r="B134" t="s">
        <v>16</v>
      </c>
      <c r="C134" t="s">
        <v>27</v>
      </c>
      <c r="D134" t="s">
        <v>30</v>
      </c>
      <c r="E134">
        <v>120</v>
      </c>
      <c r="F134">
        <v>12</v>
      </c>
      <c r="G134">
        <v>12660</v>
      </c>
      <c r="H134">
        <v>253.2</v>
      </c>
      <c r="I134" s="1">
        <v>12406.8</v>
      </c>
      <c r="J134">
        <v>3165</v>
      </c>
      <c r="K134" s="1">
        <v>9241.7999999999993</v>
      </c>
      <c r="L134" s="3">
        <f>(K134/I134)</f>
        <v>0.74489795918367341</v>
      </c>
      <c r="M134" s="2">
        <v>41974</v>
      </c>
      <c r="N134">
        <v>12</v>
      </c>
      <c r="O134" t="s">
        <v>21</v>
      </c>
      <c r="P134">
        <v>2014</v>
      </c>
    </row>
    <row r="135" spans="1:16" x14ac:dyDescent="0.25">
      <c r="A135" t="s">
        <v>8</v>
      </c>
      <c r="B135" t="s">
        <v>11</v>
      </c>
      <c r="C135" t="s">
        <v>27</v>
      </c>
      <c r="D135" t="s">
        <v>30</v>
      </c>
      <c r="E135">
        <v>120</v>
      </c>
      <c r="F135">
        <v>20</v>
      </c>
      <c r="G135">
        <v>10880</v>
      </c>
      <c r="H135">
        <v>217.6</v>
      </c>
      <c r="I135" s="1">
        <v>10662.4</v>
      </c>
      <c r="J135">
        <v>5440</v>
      </c>
      <c r="K135" s="1">
        <v>5222.3999999999996</v>
      </c>
      <c r="L135" s="3">
        <f>(K135/I135)</f>
        <v>0.48979591836734693</v>
      </c>
      <c r="M135" s="2">
        <v>41609</v>
      </c>
      <c r="N135">
        <v>12</v>
      </c>
      <c r="O135" t="s">
        <v>18</v>
      </c>
      <c r="P135">
        <v>2013</v>
      </c>
    </row>
    <row r="136" spans="1:16" x14ac:dyDescent="0.25">
      <c r="A136" t="s">
        <v>4</v>
      </c>
      <c r="B136" t="s">
        <v>11</v>
      </c>
      <c r="C136" t="s">
        <v>27</v>
      </c>
      <c r="D136" t="s">
        <v>30</v>
      </c>
      <c r="E136">
        <v>120</v>
      </c>
      <c r="F136">
        <v>12</v>
      </c>
      <c r="G136">
        <v>13008</v>
      </c>
      <c r="H136">
        <v>260.16000000000003</v>
      </c>
      <c r="I136" s="1">
        <v>12747.84</v>
      </c>
      <c r="J136">
        <v>3252</v>
      </c>
      <c r="K136" s="1">
        <v>9495.84</v>
      </c>
      <c r="L136" s="3">
        <f>(K136/I136)</f>
        <v>0.74489795918367352</v>
      </c>
      <c r="M136" s="2">
        <v>41974</v>
      </c>
      <c r="N136">
        <v>12</v>
      </c>
      <c r="O136" t="s">
        <v>17</v>
      </c>
      <c r="P136">
        <v>2014</v>
      </c>
    </row>
    <row r="137" spans="1:16" x14ac:dyDescent="0.25">
      <c r="A137" t="s">
        <v>20</v>
      </c>
      <c r="B137" t="s">
        <v>11</v>
      </c>
      <c r="C137" t="s">
        <v>2</v>
      </c>
      <c r="D137" t="s">
        <v>30</v>
      </c>
      <c r="E137">
        <v>250</v>
      </c>
      <c r="F137">
        <v>125</v>
      </c>
      <c r="G137">
        <v>82750</v>
      </c>
      <c r="H137">
        <v>1655</v>
      </c>
      <c r="I137" s="1">
        <v>81095</v>
      </c>
      <c r="J137">
        <v>79440</v>
      </c>
      <c r="K137" s="1">
        <v>1655</v>
      </c>
      <c r="L137" s="3">
        <f>(K137/I137)</f>
        <v>2.0408163265306121E-2</v>
      </c>
      <c r="M137" s="2">
        <v>41791</v>
      </c>
      <c r="N137">
        <v>6</v>
      </c>
      <c r="O137" t="s">
        <v>15</v>
      </c>
      <c r="P137">
        <v>2014</v>
      </c>
    </row>
    <row r="138" spans="1:16" x14ac:dyDescent="0.25">
      <c r="A138" t="s">
        <v>14</v>
      </c>
      <c r="B138" t="s">
        <v>19</v>
      </c>
      <c r="C138" t="s">
        <v>2</v>
      </c>
      <c r="D138" t="s">
        <v>30</v>
      </c>
      <c r="E138">
        <v>250</v>
      </c>
      <c r="F138">
        <v>300</v>
      </c>
      <c r="G138">
        <v>64200</v>
      </c>
      <c r="H138">
        <v>1284</v>
      </c>
      <c r="I138" s="1">
        <v>62916</v>
      </c>
      <c r="J138">
        <v>53500</v>
      </c>
      <c r="K138" s="1">
        <v>9416</v>
      </c>
      <c r="L138" s="3">
        <f>(K138/I138)</f>
        <v>0.14965986394557823</v>
      </c>
      <c r="M138" s="2">
        <v>41548</v>
      </c>
      <c r="N138">
        <v>10</v>
      </c>
      <c r="O138" t="s">
        <v>12</v>
      </c>
      <c r="P138">
        <v>2013</v>
      </c>
    </row>
    <row r="139" spans="1:16" x14ac:dyDescent="0.25">
      <c r="A139" t="s">
        <v>8</v>
      </c>
      <c r="B139" t="s">
        <v>19</v>
      </c>
      <c r="C139" t="s">
        <v>2</v>
      </c>
      <c r="D139" t="s">
        <v>30</v>
      </c>
      <c r="E139">
        <v>250</v>
      </c>
      <c r="F139">
        <v>350</v>
      </c>
      <c r="G139">
        <v>1006950</v>
      </c>
      <c r="H139">
        <v>20139</v>
      </c>
      <c r="I139" s="1">
        <v>986811</v>
      </c>
      <c r="J139">
        <v>748020</v>
      </c>
      <c r="K139" s="1">
        <v>238791</v>
      </c>
      <c r="L139" s="3">
        <f>(K139/I139)</f>
        <v>0.24198250728862974</v>
      </c>
      <c r="M139" s="2">
        <v>41913</v>
      </c>
      <c r="N139">
        <v>10</v>
      </c>
      <c r="O139" t="s">
        <v>9</v>
      </c>
      <c r="P139">
        <v>2014</v>
      </c>
    </row>
    <row r="140" spans="1:16" x14ac:dyDescent="0.25">
      <c r="A140" t="s">
        <v>20</v>
      </c>
      <c r="B140" t="s">
        <v>7</v>
      </c>
      <c r="C140" t="s">
        <v>2</v>
      </c>
      <c r="D140" t="s">
        <v>30</v>
      </c>
      <c r="E140">
        <v>250</v>
      </c>
      <c r="F140">
        <v>125</v>
      </c>
      <c r="G140">
        <v>341125</v>
      </c>
      <c r="H140">
        <v>6822.5</v>
      </c>
      <c r="I140" s="1">
        <v>334302.5</v>
      </c>
      <c r="J140">
        <v>327480</v>
      </c>
      <c r="K140" s="1">
        <v>6822.5</v>
      </c>
      <c r="L140" s="3">
        <f>(K140/I140)</f>
        <v>2.0408163265306121E-2</v>
      </c>
      <c r="M140" s="2">
        <v>41974</v>
      </c>
      <c r="N140">
        <v>12</v>
      </c>
      <c r="O140" t="s">
        <v>5</v>
      </c>
      <c r="P140">
        <v>2014</v>
      </c>
    </row>
    <row r="141" spans="1:16" x14ac:dyDescent="0.25">
      <c r="A141" t="s">
        <v>8</v>
      </c>
      <c r="B141" t="s">
        <v>3</v>
      </c>
      <c r="C141" t="s">
        <v>2</v>
      </c>
      <c r="D141" t="s">
        <v>30</v>
      </c>
      <c r="E141">
        <v>250</v>
      </c>
      <c r="F141">
        <v>350</v>
      </c>
      <c r="G141">
        <v>93100</v>
      </c>
      <c r="H141">
        <v>1862</v>
      </c>
      <c r="I141" s="1">
        <v>91238</v>
      </c>
      <c r="J141">
        <v>69160</v>
      </c>
      <c r="K141" s="1">
        <v>22078</v>
      </c>
      <c r="L141" s="3">
        <f>(K141/I141)</f>
        <v>0.24198250728862974</v>
      </c>
      <c r="M141" s="2">
        <v>41609</v>
      </c>
      <c r="N141">
        <v>12</v>
      </c>
      <c r="O141" t="s">
        <v>0</v>
      </c>
      <c r="P141">
        <v>2013</v>
      </c>
    </row>
    <row r="142" spans="1:16" x14ac:dyDescent="0.25">
      <c r="A142" t="s">
        <v>8</v>
      </c>
      <c r="B142" t="s">
        <v>11</v>
      </c>
      <c r="C142" t="s">
        <v>2</v>
      </c>
      <c r="D142" t="s">
        <v>30</v>
      </c>
      <c r="E142">
        <v>250</v>
      </c>
      <c r="F142">
        <v>350</v>
      </c>
      <c r="G142">
        <v>679000</v>
      </c>
      <c r="H142">
        <v>13580</v>
      </c>
      <c r="I142" s="1">
        <v>665420</v>
      </c>
      <c r="J142">
        <v>504400</v>
      </c>
      <c r="K142" s="1">
        <v>161020</v>
      </c>
      <c r="L142" s="3">
        <f>(K142/I142)</f>
        <v>0.24198250728862974</v>
      </c>
      <c r="M142" s="2">
        <v>41609</v>
      </c>
      <c r="N142">
        <v>12</v>
      </c>
      <c r="O142" t="s">
        <v>26</v>
      </c>
      <c r="P142">
        <v>2013</v>
      </c>
    </row>
    <row r="143" spans="1:16" x14ac:dyDescent="0.25">
      <c r="A143" t="s">
        <v>14</v>
      </c>
      <c r="B143" t="s">
        <v>19</v>
      </c>
      <c r="C143" t="s">
        <v>13</v>
      </c>
      <c r="D143" t="s">
        <v>30</v>
      </c>
      <c r="E143">
        <v>260</v>
      </c>
      <c r="F143">
        <v>300</v>
      </c>
      <c r="G143">
        <v>77700</v>
      </c>
      <c r="H143">
        <v>1554</v>
      </c>
      <c r="I143" s="1">
        <v>76146</v>
      </c>
      <c r="J143">
        <v>64750</v>
      </c>
      <c r="K143" s="1">
        <v>11396</v>
      </c>
      <c r="L143" s="3">
        <f>(K143/I143)</f>
        <v>0.14965986394557823</v>
      </c>
      <c r="M143" s="2">
        <v>41699</v>
      </c>
      <c r="N143">
        <v>3</v>
      </c>
      <c r="O143" t="s">
        <v>25</v>
      </c>
      <c r="P143">
        <v>2014</v>
      </c>
    </row>
    <row r="144" spans="1:16" x14ac:dyDescent="0.25">
      <c r="A144" t="s">
        <v>14</v>
      </c>
      <c r="B144" t="s">
        <v>11</v>
      </c>
      <c r="C144" t="s">
        <v>13</v>
      </c>
      <c r="D144" t="s">
        <v>30</v>
      </c>
      <c r="E144">
        <v>260</v>
      </c>
      <c r="F144">
        <v>300</v>
      </c>
      <c r="G144">
        <v>330300</v>
      </c>
      <c r="H144">
        <v>6606</v>
      </c>
      <c r="I144" s="1">
        <v>323694</v>
      </c>
      <c r="J144">
        <v>275250</v>
      </c>
      <c r="K144" s="1">
        <v>48444</v>
      </c>
      <c r="L144" s="3">
        <f>(K144/I144)</f>
        <v>0.14965986394557823</v>
      </c>
      <c r="M144" s="2">
        <v>41699</v>
      </c>
      <c r="N144">
        <v>3</v>
      </c>
      <c r="O144" t="s">
        <v>24</v>
      </c>
      <c r="P144">
        <v>2014</v>
      </c>
    </row>
    <row r="145" spans="1:16" x14ac:dyDescent="0.25">
      <c r="A145" t="s">
        <v>20</v>
      </c>
      <c r="B145" t="s">
        <v>19</v>
      </c>
      <c r="C145" t="s">
        <v>13</v>
      </c>
      <c r="D145" t="s">
        <v>30</v>
      </c>
      <c r="E145">
        <v>260</v>
      </c>
      <c r="F145">
        <v>125</v>
      </c>
      <c r="G145">
        <v>284500</v>
      </c>
      <c r="H145">
        <v>5690</v>
      </c>
      <c r="I145" s="1">
        <v>278810</v>
      </c>
      <c r="J145">
        <v>273120</v>
      </c>
      <c r="K145" s="1">
        <v>5690</v>
      </c>
      <c r="L145" s="3">
        <f>(K145/I145)</f>
        <v>2.0408163265306121E-2</v>
      </c>
      <c r="M145" s="2">
        <v>41760</v>
      </c>
      <c r="N145">
        <v>5</v>
      </c>
      <c r="O145" t="s">
        <v>22</v>
      </c>
      <c r="P145">
        <v>2014</v>
      </c>
    </row>
    <row r="146" spans="1:16" x14ac:dyDescent="0.25">
      <c r="A146" t="s">
        <v>8</v>
      </c>
      <c r="B146" t="s">
        <v>19</v>
      </c>
      <c r="C146" t="s">
        <v>13</v>
      </c>
      <c r="D146" t="s">
        <v>30</v>
      </c>
      <c r="E146">
        <v>260</v>
      </c>
      <c r="F146">
        <v>350</v>
      </c>
      <c r="G146">
        <v>1038100</v>
      </c>
      <c r="H146">
        <v>20762</v>
      </c>
      <c r="I146" s="1">
        <v>1017338</v>
      </c>
      <c r="J146">
        <v>771160</v>
      </c>
      <c r="K146" s="1">
        <v>246178</v>
      </c>
      <c r="L146" s="3">
        <f>(K146/I146)</f>
        <v>0.24198250728862974</v>
      </c>
      <c r="M146" s="2">
        <v>41548</v>
      </c>
      <c r="N146">
        <v>10</v>
      </c>
      <c r="O146" t="s">
        <v>21</v>
      </c>
      <c r="P146">
        <v>2013</v>
      </c>
    </row>
    <row r="147" spans="1:16" x14ac:dyDescent="0.25">
      <c r="A147" t="s">
        <v>8</v>
      </c>
      <c r="B147" t="s">
        <v>3</v>
      </c>
      <c r="C147" t="s">
        <v>13</v>
      </c>
      <c r="D147" t="s">
        <v>30</v>
      </c>
      <c r="E147">
        <v>260</v>
      </c>
      <c r="F147">
        <v>20</v>
      </c>
      <c r="G147">
        <v>24720</v>
      </c>
      <c r="H147">
        <v>494.4</v>
      </c>
      <c r="I147" s="1">
        <v>24225.599999999999</v>
      </c>
      <c r="J147">
        <v>12360</v>
      </c>
      <c r="K147" s="1">
        <v>11865.599999999999</v>
      </c>
      <c r="L147" s="3">
        <f>(K147/I147)</f>
        <v>0.48979591836734693</v>
      </c>
      <c r="M147" s="2">
        <v>41944</v>
      </c>
      <c r="N147">
        <v>11</v>
      </c>
      <c r="O147" t="s">
        <v>18</v>
      </c>
      <c r="P147">
        <v>2014</v>
      </c>
    </row>
    <row r="148" spans="1:16" x14ac:dyDescent="0.25">
      <c r="A148" t="s">
        <v>8</v>
      </c>
      <c r="B148" t="s">
        <v>16</v>
      </c>
      <c r="C148" t="s">
        <v>13</v>
      </c>
      <c r="D148" t="s">
        <v>30</v>
      </c>
      <c r="E148">
        <v>260</v>
      </c>
      <c r="F148">
        <v>20</v>
      </c>
      <c r="G148">
        <v>18820</v>
      </c>
      <c r="H148">
        <v>376.4</v>
      </c>
      <c r="I148" s="1">
        <v>18443.599999999999</v>
      </c>
      <c r="J148">
        <v>9410</v>
      </c>
      <c r="K148" s="1">
        <v>9033.5999999999985</v>
      </c>
      <c r="L148" s="3">
        <f>(K148/I148)</f>
        <v>0.48979591836734687</v>
      </c>
      <c r="M148" s="2">
        <v>41944</v>
      </c>
      <c r="N148">
        <v>11</v>
      </c>
      <c r="O148" t="s">
        <v>17</v>
      </c>
      <c r="P148">
        <v>2014</v>
      </c>
    </row>
    <row r="149" spans="1:16" x14ac:dyDescent="0.25">
      <c r="A149" t="s">
        <v>14</v>
      </c>
      <c r="B149" t="s">
        <v>7</v>
      </c>
      <c r="C149" t="s">
        <v>13</v>
      </c>
      <c r="D149" t="s">
        <v>30</v>
      </c>
      <c r="E149">
        <v>260</v>
      </c>
      <c r="F149">
        <v>300</v>
      </c>
      <c r="G149">
        <v>574800</v>
      </c>
      <c r="H149">
        <v>11496</v>
      </c>
      <c r="I149" s="1">
        <v>563304</v>
      </c>
      <c r="J149">
        <v>479000</v>
      </c>
      <c r="K149" s="1">
        <v>84304</v>
      </c>
      <c r="L149" s="3">
        <f>(K149/I149)</f>
        <v>0.14965986394557823</v>
      </c>
      <c r="M149" s="2">
        <v>41974</v>
      </c>
      <c r="N149">
        <v>12</v>
      </c>
      <c r="O149" t="s">
        <v>15</v>
      </c>
      <c r="P149">
        <v>2014</v>
      </c>
    </row>
    <row r="150" spans="1:16" x14ac:dyDescent="0.25">
      <c r="A150" t="s">
        <v>20</v>
      </c>
      <c r="B150" t="s">
        <v>16</v>
      </c>
      <c r="C150" t="s">
        <v>28</v>
      </c>
      <c r="D150" t="s">
        <v>30</v>
      </c>
      <c r="E150">
        <v>3</v>
      </c>
      <c r="F150">
        <v>125</v>
      </c>
      <c r="G150">
        <v>530437.5</v>
      </c>
      <c r="H150">
        <v>15913.125</v>
      </c>
      <c r="I150" s="1">
        <v>514524.375</v>
      </c>
      <c r="J150">
        <v>509220</v>
      </c>
      <c r="K150" s="1">
        <v>5304.375</v>
      </c>
      <c r="L150" s="3">
        <f>(K150/I150)</f>
        <v>1.0309278350515464E-2</v>
      </c>
      <c r="M150" s="2">
        <v>41730</v>
      </c>
      <c r="N150">
        <v>4</v>
      </c>
      <c r="O150" t="s">
        <v>12</v>
      </c>
      <c r="P150">
        <v>2014</v>
      </c>
    </row>
    <row r="151" spans="1:16" x14ac:dyDescent="0.25">
      <c r="A151" t="s">
        <v>8</v>
      </c>
      <c r="B151" t="s">
        <v>19</v>
      </c>
      <c r="C151" t="s">
        <v>28</v>
      </c>
      <c r="D151" t="s">
        <v>30</v>
      </c>
      <c r="E151">
        <v>3</v>
      </c>
      <c r="F151">
        <v>20</v>
      </c>
      <c r="G151">
        <v>51600</v>
      </c>
      <c r="H151">
        <v>1548</v>
      </c>
      <c r="I151" s="1">
        <v>50052</v>
      </c>
      <c r="J151">
        <v>25800</v>
      </c>
      <c r="K151" s="1">
        <v>24252</v>
      </c>
      <c r="L151" s="3">
        <f>(K151/I151)</f>
        <v>0.4845360824742268</v>
      </c>
      <c r="M151" s="2">
        <v>41730</v>
      </c>
      <c r="N151">
        <v>4</v>
      </c>
      <c r="O151" t="s">
        <v>9</v>
      </c>
      <c r="P151">
        <v>2014</v>
      </c>
    </row>
    <row r="152" spans="1:16" x14ac:dyDescent="0.25">
      <c r="A152" t="s">
        <v>14</v>
      </c>
      <c r="B152" t="s">
        <v>19</v>
      </c>
      <c r="C152" t="s">
        <v>28</v>
      </c>
      <c r="D152" t="s">
        <v>30</v>
      </c>
      <c r="E152">
        <v>3</v>
      </c>
      <c r="F152">
        <v>300</v>
      </c>
      <c r="G152">
        <v>206700</v>
      </c>
      <c r="H152">
        <v>6201</v>
      </c>
      <c r="I152" s="1">
        <v>200499</v>
      </c>
      <c r="J152">
        <v>172250</v>
      </c>
      <c r="K152" s="1">
        <v>28249</v>
      </c>
      <c r="L152" s="3">
        <f>(K152/I152)</f>
        <v>0.14089347079037801</v>
      </c>
      <c r="M152" s="2">
        <v>41791</v>
      </c>
      <c r="N152">
        <v>6</v>
      </c>
      <c r="O152" t="s">
        <v>5</v>
      </c>
      <c r="P152">
        <v>2014</v>
      </c>
    </row>
    <row r="153" spans="1:16" x14ac:dyDescent="0.25">
      <c r="A153" t="s">
        <v>4</v>
      </c>
      <c r="B153" t="s">
        <v>3</v>
      </c>
      <c r="C153" t="s">
        <v>28</v>
      </c>
      <c r="D153" t="s">
        <v>30</v>
      </c>
      <c r="E153">
        <v>3</v>
      </c>
      <c r="F153">
        <v>12</v>
      </c>
      <c r="G153">
        <v>23364</v>
      </c>
      <c r="H153">
        <v>700.92</v>
      </c>
      <c r="I153" s="1">
        <v>22663.08</v>
      </c>
      <c r="J153">
        <v>5841</v>
      </c>
      <c r="K153" s="1">
        <v>16822.080000000002</v>
      </c>
      <c r="L153" s="3">
        <f>(K153/I153)</f>
        <v>0.74226804123711343</v>
      </c>
      <c r="M153" s="2">
        <v>41883</v>
      </c>
      <c r="N153">
        <v>9</v>
      </c>
      <c r="O153" t="s">
        <v>0</v>
      </c>
      <c r="P153">
        <v>2014</v>
      </c>
    </row>
    <row r="154" spans="1:16" x14ac:dyDescent="0.25">
      <c r="A154" t="s">
        <v>4</v>
      </c>
      <c r="B154" t="s">
        <v>7</v>
      </c>
      <c r="C154" t="s">
        <v>28</v>
      </c>
      <c r="D154" t="s">
        <v>30</v>
      </c>
      <c r="E154">
        <v>3</v>
      </c>
      <c r="F154">
        <v>12</v>
      </c>
      <c r="G154">
        <v>10896</v>
      </c>
      <c r="H154">
        <v>326.88</v>
      </c>
      <c r="I154" s="1">
        <v>10569.12</v>
      </c>
      <c r="J154">
        <v>2724</v>
      </c>
      <c r="K154" s="1">
        <v>7845.1200000000008</v>
      </c>
      <c r="L154" s="3">
        <f>(K154/I154)</f>
        <v>0.74226804123711343</v>
      </c>
      <c r="M154" s="2">
        <v>41609</v>
      </c>
      <c r="N154">
        <v>12</v>
      </c>
      <c r="O154" t="s">
        <v>26</v>
      </c>
      <c r="P154">
        <v>2013</v>
      </c>
    </row>
    <row r="155" spans="1:16" x14ac:dyDescent="0.25">
      <c r="A155" t="s">
        <v>8</v>
      </c>
      <c r="B155" t="s">
        <v>19</v>
      </c>
      <c r="C155" t="s">
        <v>10</v>
      </c>
      <c r="D155" t="s">
        <v>30</v>
      </c>
      <c r="E155">
        <v>5</v>
      </c>
      <c r="F155">
        <v>7</v>
      </c>
      <c r="G155">
        <v>13706</v>
      </c>
      <c r="H155">
        <v>411.18</v>
      </c>
      <c r="I155" s="1">
        <v>13294.82</v>
      </c>
      <c r="J155">
        <v>9790</v>
      </c>
      <c r="K155" s="1">
        <v>3504.8199999999997</v>
      </c>
      <c r="L155" s="3">
        <f>(K155/I155)</f>
        <v>0.26362297496318116</v>
      </c>
      <c r="M155" s="2">
        <v>41671</v>
      </c>
      <c r="N155">
        <v>2</v>
      </c>
      <c r="O155" t="s">
        <v>25</v>
      </c>
      <c r="P155">
        <v>2014</v>
      </c>
    </row>
    <row r="156" spans="1:16" x14ac:dyDescent="0.25">
      <c r="A156" t="s">
        <v>4</v>
      </c>
      <c r="B156" t="s">
        <v>16</v>
      </c>
      <c r="C156" t="s">
        <v>10</v>
      </c>
      <c r="D156" t="s">
        <v>30</v>
      </c>
      <c r="E156">
        <v>5</v>
      </c>
      <c r="F156">
        <v>12</v>
      </c>
      <c r="G156">
        <v>22812</v>
      </c>
      <c r="H156">
        <v>684.36</v>
      </c>
      <c r="I156" s="1">
        <v>22127.64</v>
      </c>
      <c r="J156">
        <v>5703</v>
      </c>
      <c r="K156" s="1">
        <v>16424.64</v>
      </c>
      <c r="L156" s="3">
        <f>(K156/I156)</f>
        <v>0.74226804123711343</v>
      </c>
      <c r="M156" s="2">
        <v>41791</v>
      </c>
      <c r="N156">
        <v>6</v>
      </c>
      <c r="O156" t="s">
        <v>24</v>
      </c>
      <c r="P156">
        <v>2014</v>
      </c>
    </row>
    <row r="157" spans="1:16" x14ac:dyDescent="0.25">
      <c r="A157" t="s">
        <v>8</v>
      </c>
      <c r="B157" t="s">
        <v>16</v>
      </c>
      <c r="C157" t="s">
        <v>10</v>
      </c>
      <c r="D157" t="s">
        <v>30</v>
      </c>
      <c r="E157">
        <v>5</v>
      </c>
      <c r="F157">
        <v>7</v>
      </c>
      <c r="G157">
        <v>3808</v>
      </c>
      <c r="H157">
        <v>114.24</v>
      </c>
      <c r="I157" s="1">
        <v>3693.76</v>
      </c>
      <c r="J157">
        <v>2720</v>
      </c>
      <c r="K157" s="1">
        <v>973.76000000000022</v>
      </c>
      <c r="L157" s="3">
        <f>(K157/I157)</f>
        <v>0.26362297496318121</v>
      </c>
      <c r="M157" s="2">
        <v>41883</v>
      </c>
      <c r="N157">
        <v>9</v>
      </c>
      <c r="O157" t="s">
        <v>22</v>
      </c>
      <c r="P157">
        <v>2014</v>
      </c>
    </row>
    <row r="158" spans="1:16" x14ac:dyDescent="0.25">
      <c r="A158" t="s">
        <v>8</v>
      </c>
      <c r="B158" t="s">
        <v>19</v>
      </c>
      <c r="C158" t="s">
        <v>10</v>
      </c>
      <c r="D158" t="s">
        <v>30</v>
      </c>
      <c r="E158">
        <v>5</v>
      </c>
      <c r="F158">
        <v>350</v>
      </c>
      <c r="G158">
        <v>628950</v>
      </c>
      <c r="H158">
        <v>18868.5</v>
      </c>
      <c r="I158" s="1">
        <v>610081.5</v>
      </c>
      <c r="J158">
        <v>467220</v>
      </c>
      <c r="K158" s="1">
        <v>142861.5</v>
      </c>
      <c r="L158" s="3">
        <f>(K158/I158)</f>
        <v>0.2341678939617084</v>
      </c>
      <c r="M158" s="2">
        <v>41518</v>
      </c>
      <c r="N158">
        <v>9</v>
      </c>
      <c r="O158" t="s">
        <v>21</v>
      </c>
      <c r="P158">
        <v>2013</v>
      </c>
    </row>
    <row r="159" spans="1:16" x14ac:dyDescent="0.25">
      <c r="A159" t="s">
        <v>20</v>
      </c>
      <c r="B159" t="s">
        <v>16</v>
      </c>
      <c r="C159" t="s">
        <v>10</v>
      </c>
      <c r="D159" t="s">
        <v>30</v>
      </c>
      <c r="E159">
        <v>5</v>
      </c>
      <c r="F159">
        <v>125</v>
      </c>
      <c r="G159">
        <v>160875</v>
      </c>
      <c r="H159">
        <v>4826.25</v>
      </c>
      <c r="I159" s="1">
        <v>156048.75</v>
      </c>
      <c r="J159">
        <v>154440</v>
      </c>
      <c r="K159" s="1">
        <v>1608.75</v>
      </c>
      <c r="L159" s="3">
        <f>(K159/I159)</f>
        <v>1.0309278350515464E-2</v>
      </c>
      <c r="M159" s="2">
        <v>41974</v>
      </c>
      <c r="N159">
        <v>12</v>
      </c>
      <c r="O159" t="s">
        <v>18</v>
      </c>
      <c r="P159">
        <v>2014</v>
      </c>
    </row>
    <row r="160" spans="1:16" x14ac:dyDescent="0.25">
      <c r="A160" t="s">
        <v>20</v>
      </c>
      <c r="B160" t="s">
        <v>19</v>
      </c>
      <c r="C160" t="s">
        <v>10</v>
      </c>
      <c r="D160" t="s">
        <v>30</v>
      </c>
      <c r="E160">
        <v>5</v>
      </c>
      <c r="F160">
        <v>125</v>
      </c>
      <c r="G160">
        <v>213250</v>
      </c>
      <c r="H160">
        <v>6397.5</v>
      </c>
      <c r="I160" s="1">
        <v>206852.5</v>
      </c>
      <c r="J160">
        <v>204720</v>
      </c>
      <c r="K160" s="1">
        <v>2132.5</v>
      </c>
      <c r="L160" s="3">
        <f>(K160/I160)</f>
        <v>1.0309278350515464E-2</v>
      </c>
      <c r="M160" s="2">
        <v>41974</v>
      </c>
      <c r="N160">
        <v>12</v>
      </c>
      <c r="O160" t="s">
        <v>17</v>
      </c>
      <c r="P160">
        <v>2014</v>
      </c>
    </row>
    <row r="161" spans="1:16" x14ac:dyDescent="0.25">
      <c r="A161" t="s">
        <v>14</v>
      </c>
      <c r="B161" t="s">
        <v>16</v>
      </c>
      <c r="C161" t="s">
        <v>6</v>
      </c>
      <c r="D161" t="s">
        <v>30</v>
      </c>
      <c r="E161">
        <v>10</v>
      </c>
      <c r="F161">
        <v>300</v>
      </c>
      <c r="G161">
        <v>730350</v>
      </c>
      <c r="H161">
        <v>21910.5</v>
      </c>
      <c r="I161" s="1">
        <v>708439.5</v>
      </c>
      <c r="J161">
        <v>608625</v>
      </c>
      <c r="K161" s="1">
        <v>99814.5</v>
      </c>
      <c r="L161" s="3">
        <f>(K161/I161)</f>
        <v>0.14089347079037801</v>
      </c>
      <c r="M161" s="2">
        <v>41640</v>
      </c>
      <c r="N161">
        <v>1</v>
      </c>
      <c r="O161" t="s">
        <v>15</v>
      </c>
      <c r="P161">
        <v>2014</v>
      </c>
    </row>
    <row r="162" spans="1:16" x14ac:dyDescent="0.25">
      <c r="A162" t="s">
        <v>20</v>
      </c>
      <c r="B162" t="s">
        <v>7</v>
      </c>
      <c r="C162" t="s">
        <v>6</v>
      </c>
      <c r="D162" t="s">
        <v>30</v>
      </c>
      <c r="E162">
        <v>10</v>
      </c>
      <c r="F162">
        <v>125</v>
      </c>
      <c r="G162">
        <v>221750</v>
      </c>
      <c r="H162">
        <v>6652.5</v>
      </c>
      <c r="I162" s="1">
        <v>215097.5</v>
      </c>
      <c r="J162">
        <v>212880</v>
      </c>
      <c r="K162" s="1">
        <v>2217.5</v>
      </c>
      <c r="L162" s="3">
        <f>(K162/I162)</f>
        <v>1.0309278350515464E-2</v>
      </c>
      <c r="M162" s="2">
        <v>41699</v>
      </c>
      <c r="N162">
        <v>3</v>
      </c>
      <c r="O162" t="s">
        <v>12</v>
      </c>
      <c r="P162">
        <v>2014</v>
      </c>
    </row>
    <row r="163" spans="1:16" x14ac:dyDescent="0.25">
      <c r="A163" t="s">
        <v>4</v>
      </c>
      <c r="B163" t="s">
        <v>16</v>
      </c>
      <c r="C163" t="s">
        <v>6</v>
      </c>
      <c r="D163" t="s">
        <v>30</v>
      </c>
      <c r="E163">
        <v>10</v>
      </c>
      <c r="F163">
        <v>12</v>
      </c>
      <c r="G163">
        <v>22812</v>
      </c>
      <c r="H163">
        <v>684.36</v>
      </c>
      <c r="I163" s="1">
        <v>22127.64</v>
      </c>
      <c r="J163">
        <v>5703</v>
      </c>
      <c r="K163" s="1">
        <v>16424.64</v>
      </c>
      <c r="L163" s="3">
        <f>(K163/I163)</f>
        <v>0.74226804123711343</v>
      </c>
      <c r="M163" s="2">
        <v>41791</v>
      </c>
      <c r="N163">
        <v>6</v>
      </c>
      <c r="O163" t="s">
        <v>9</v>
      </c>
      <c r="P163">
        <v>2014</v>
      </c>
    </row>
    <row r="164" spans="1:16" x14ac:dyDescent="0.25">
      <c r="A164" t="s">
        <v>14</v>
      </c>
      <c r="B164" t="s">
        <v>19</v>
      </c>
      <c r="C164" t="s">
        <v>6</v>
      </c>
      <c r="D164" t="s">
        <v>30</v>
      </c>
      <c r="E164">
        <v>10</v>
      </c>
      <c r="F164">
        <v>300</v>
      </c>
      <c r="G164">
        <v>206700</v>
      </c>
      <c r="H164">
        <v>6201</v>
      </c>
      <c r="I164" s="1">
        <v>200499</v>
      </c>
      <c r="J164">
        <v>172250</v>
      </c>
      <c r="K164" s="1">
        <v>28249</v>
      </c>
      <c r="L164" s="3">
        <f>(K164/I164)</f>
        <v>0.14089347079037801</v>
      </c>
      <c r="M164" s="2">
        <v>41791</v>
      </c>
      <c r="N164">
        <v>6</v>
      </c>
      <c r="O164" t="s">
        <v>5</v>
      </c>
      <c r="P164">
        <v>2014</v>
      </c>
    </row>
    <row r="165" spans="1:16" x14ac:dyDescent="0.25">
      <c r="A165" t="s">
        <v>20</v>
      </c>
      <c r="B165" t="s">
        <v>19</v>
      </c>
      <c r="C165" t="s">
        <v>6</v>
      </c>
      <c r="D165" t="s">
        <v>30</v>
      </c>
      <c r="E165">
        <v>10</v>
      </c>
      <c r="F165">
        <v>125</v>
      </c>
      <c r="G165">
        <v>196250</v>
      </c>
      <c r="H165">
        <v>5887.5</v>
      </c>
      <c r="I165" s="1">
        <v>190362.5</v>
      </c>
      <c r="J165">
        <v>188400</v>
      </c>
      <c r="K165" s="1">
        <v>1962.5</v>
      </c>
      <c r="L165" s="3">
        <f>(K165/I165)</f>
        <v>1.0309278350515464E-2</v>
      </c>
      <c r="M165" s="2">
        <v>41791</v>
      </c>
      <c r="N165">
        <v>6</v>
      </c>
      <c r="O165" t="s">
        <v>0</v>
      </c>
      <c r="P165">
        <v>2014</v>
      </c>
    </row>
    <row r="166" spans="1:16" x14ac:dyDescent="0.25">
      <c r="A166" t="s">
        <v>4</v>
      </c>
      <c r="B166" t="s">
        <v>3</v>
      </c>
      <c r="C166" t="s">
        <v>6</v>
      </c>
      <c r="D166" t="s">
        <v>30</v>
      </c>
      <c r="E166">
        <v>10</v>
      </c>
      <c r="F166">
        <v>12</v>
      </c>
      <c r="G166">
        <v>16434</v>
      </c>
      <c r="H166">
        <v>493.02</v>
      </c>
      <c r="I166" s="1">
        <v>15940.98</v>
      </c>
      <c r="J166">
        <v>4108.5</v>
      </c>
      <c r="K166" s="1">
        <v>11832.48</v>
      </c>
      <c r="L166" s="3">
        <f>(K166/I166)</f>
        <v>0.74226804123711343</v>
      </c>
      <c r="M166" s="2">
        <v>41821</v>
      </c>
      <c r="N166">
        <v>7</v>
      </c>
      <c r="O166" t="s">
        <v>26</v>
      </c>
      <c r="P166">
        <v>2014</v>
      </c>
    </row>
    <row r="167" spans="1:16" x14ac:dyDescent="0.25">
      <c r="A167" t="s">
        <v>20</v>
      </c>
      <c r="B167" t="s">
        <v>7</v>
      </c>
      <c r="C167" t="s">
        <v>6</v>
      </c>
      <c r="D167" t="s">
        <v>30</v>
      </c>
      <c r="E167">
        <v>10</v>
      </c>
      <c r="F167">
        <v>125</v>
      </c>
      <c r="G167">
        <v>251125</v>
      </c>
      <c r="H167">
        <v>7533.75</v>
      </c>
      <c r="I167" s="1">
        <v>243591.25</v>
      </c>
      <c r="J167">
        <v>241080</v>
      </c>
      <c r="K167" s="1">
        <v>2511.25</v>
      </c>
      <c r="L167" s="3">
        <f>(K167/I167)</f>
        <v>1.0309278350515464E-2</v>
      </c>
      <c r="M167" s="2">
        <v>41913</v>
      </c>
      <c r="N167">
        <v>10</v>
      </c>
      <c r="O167" t="s">
        <v>25</v>
      </c>
      <c r="P167">
        <v>2014</v>
      </c>
    </row>
    <row r="168" spans="1:16" x14ac:dyDescent="0.25">
      <c r="A168" t="s">
        <v>23</v>
      </c>
      <c r="B168" t="s">
        <v>19</v>
      </c>
      <c r="C168" t="s">
        <v>6</v>
      </c>
      <c r="D168" t="s">
        <v>30</v>
      </c>
      <c r="E168">
        <v>10</v>
      </c>
      <c r="F168">
        <v>15</v>
      </c>
      <c r="G168">
        <v>29175</v>
      </c>
      <c r="H168">
        <v>875.25</v>
      </c>
      <c r="I168" s="1">
        <v>28299.75</v>
      </c>
      <c r="J168">
        <v>19450</v>
      </c>
      <c r="K168" s="1">
        <v>8849.75</v>
      </c>
      <c r="L168" s="3">
        <f>(K168/I168)</f>
        <v>0.3127147766323024</v>
      </c>
      <c r="M168" s="2">
        <v>41548</v>
      </c>
      <c r="N168">
        <v>10</v>
      </c>
      <c r="O168" t="s">
        <v>24</v>
      </c>
      <c r="P168">
        <v>2013</v>
      </c>
    </row>
    <row r="169" spans="1:16" x14ac:dyDescent="0.25">
      <c r="A169" t="s">
        <v>20</v>
      </c>
      <c r="B169" t="s">
        <v>16</v>
      </c>
      <c r="C169" t="s">
        <v>6</v>
      </c>
      <c r="D169" t="s">
        <v>30</v>
      </c>
      <c r="E169">
        <v>10</v>
      </c>
      <c r="F169">
        <v>125</v>
      </c>
      <c r="G169">
        <v>160875</v>
      </c>
      <c r="H169">
        <v>4826.25</v>
      </c>
      <c r="I169" s="1">
        <v>156048.75</v>
      </c>
      <c r="J169">
        <v>154440</v>
      </c>
      <c r="K169" s="1">
        <v>1608.75</v>
      </c>
      <c r="L169" s="3">
        <f>(K169/I169)</f>
        <v>1.0309278350515464E-2</v>
      </c>
      <c r="M169" s="2">
        <v>41974</v>
      </c>
      <c r="N169">
        <v>12</v>
      </c>
      <c r="O169" t="s">
        <v>22</v>
      </c>
      <c r="P169">
        <v>2014</v>
      </c>
    </row>
    <row r="170" spans="1:16" x14ac:dyDescent="0.25">
      <c r="A170" t="s">
        <v>20</v>
      </c>
      <c r="B170" t="s">
        <v>19</v>
      </c>
      <c r="C170" t="s">
        <v>6</v>
      </c>
      <c r="D170" t="s">
        <v>30</v>
      </c>
      <c r="E170">
        <v>10</v>
      </c>
      <c r="F170">
        <v>125</v>
      </c>
      <c r="G170">
        <v>213250</v>
      </c>
      <c r="H170">
        <v>6397.5</v>
      </c>
      <c r="I170" s="1">
        <v>206852.5</v>
      </c>
      <c r="J170">
        <v>204720</v>
      </c>
      <c r="K170" s="1">
        <v>2132.5</v>
      </c>
      <c r="L170" s="3">
        <f>(K170/I170)</f>
        <v>1.0309278350515464E-2</v>
      </c>
      <c r="M170" s="2">
        <v>41974</v>
      </c>
      <c r="N170">
        <v>12</v>
      </c>
      <c r="O170" t="s">
        <v>21</v>
      </c>
      <c r="P170">
        <v>2014</v>
      </c>
    </row>
    <row r="171" spans="1:16" x14ac:dyDescent="0.25">
      <c r="A171" t="s">
        <v>20</v>
      </c>
      <c r="B171" t="s">
        <v>7</v>
      </c>
      <c r="C171" t="s">
        <v>27</v>
      </c>
      <c r="D171" t="s">
        <v>30</v>
      </c>
      <c r="E171">
        <v>120</v>
      </c>
      <c r="F171">
        <v>125</v>
      </c>
      <c r="G171">
        <v>251125</v>
      </c>
      <c r="H171">
        <v>7533.75</v>
      </c>
      <c r="I171" s="1">
        <v>243591.25</v>
      </c>
      <c r="J171">
        <v>241080</v>
      </c>
      <c r="K171" s="1">
        <v>2511.25</v>
      </c>
      <c r="L171" s="3">
        <f>(K171/I171)</f>
        <v>1.0309278350515464E-2</v>
      </c>
      <c r="M171" s="2">
        <v>41913</v>
      </c>
      <c r="N171">
        <v>10</v>
      </c>
      <c r="O171" t="s">
        <v>18</v>
      </c>
      <c r="P171">
        <v>2014</v>
      </c>
    </row>
    <row r="172" spans="1:16" x14ac:dyDescent="0.25">
      <c r="A172" t="s">
        <v>14</v>
      </c>
      <c r="B172" t="s">
        <v>3</v>
      </c>
      <c r="C172" t="s">
        <v>2</v>
      </c>
      <c r="D172" t="s">
        <v>30</v>
      </c>
      <c r="E172">
        <v>250</v>
      </c>
      <c r="F172">
        <v>300</v>
      </c>
      <c r="G172">
        <v>853200</v>
      </c>
      <c r="H172">
        <v>25596</v>
      </c>
      <c r="I172" s="1">
        <v>827604</v>
      </c>
      <c r="J172">
        <v>711000</v>
      </c>
      <c r="K172" s="1">
        <v>116604</v>
      </c>
      <c r="L172" s="3">
        <f>(K172/I172)</f>
        <v>0.14089347079037801</v>
      </c>
      <c r="M172" s="2">
        <v>41671</v>
      </c>
      <c r="N172">
        <v>2</v>
      </c>
      <c r="O172" t="s">
        <v>17</v>
      </c>
      <c r="P172">
        <v>2014</v>
      </c>
    </row>
    <row r="173" spans="1:16" x14ac:dyDescent="0.25">
      <c r="A173" t="s">
        <v>4</v>
      </c>
      <c r="B173" t="s">
        <v>11</v>
      </c>
      <c r="C173" t="s">
        <v>2</v>
      </c>
      <c r="D173" t="s">
        <v>30</v>
      </c>
      <c r="E173">
        <v>250</v>
      </c>
      <c r="F173">
        <v>12</v>
      </c>
      <c r="G173">
        <v>22992</v>
      </c>
      <c r="H173">
        <v>689.76</v>
      </c>
      <c r="I173" s="1">
        <v>22302.240000000002</v>
      </c>
      <c r="J173">
        <v>5748</v>
      </c>
      <c r="K173" s="1">
        <v>16554.240000000002</v>
      </c>
      <c r="L173" s="3">
        <f>(K173/I173)</f>
        <v>0.74226804123711343</v>
      </c>
      <c r="M173" s="2">
        <v>41730</v>
      </c>
      <c r="N173">
        <v>4</v>
      </c>
      <c r="O173" t="s">
        <v>15</v>
      </c>
      <c r="P173">
        <v>2014</v>
      </c>
    </row>
    <row r="174" spans="1:16" x14ac:dyDescent="0.25">
      <c r="A174" t="s">
        <v>20</v>
      </c>
      <c r="B174" t="s">
        <v>19</v>
      </c>
      <c r="C174" t="s">
        <v>2</v>
      </c>
      <c r="D174" t="s">
        <v>30</v>
      </c>
      <c r="E174">
        <v>250</v>
      </c>
      <c r="F174">
        <v>125</v>
      </c>
      <c r="G174">
        <v>196250</v>
      </c>
      <c r="H174">
        <v>5887.5</v>
      </c>
      <c r="I174" s="1">
        <v>190362.5</v>
      </c>
      <c r="J174">
        <v>188400</v>
      </c>
      <c r="K174" s="1">
        <v>1962.5</v>
      </c>
      <c r="L174" s="3">
        <f>(K174/I174)</f>
        <v>1.0309278350515464E-2</v>
      </c>
      <c r="M174" s="2">
        <v>41791</v>
      </c>
      <c r="N174">
        <v>6</v>
      </c>
      <c r="O174" t="s">
        <v>12</v>
      </c>
      <c r="P174">
        <v>2014</v>
      </c>
    </row>
    <row r="175" spans="1:16" x14ac:dyDescent="0.25">
      <c r="A175" t="s">
        <v>14</v>
      </c>
      <c r="B175" t="s">
        <v>7</v>
      </c>
      <c r="C175" t="s">
        <v>2</v>
      </c>
      <c r="D175" t="s">
        <v>30</v>
      </c>
      <c r="E175">
        <v>250</v>
      </c>
      <c r="F175">
        <v>300</v>
      </c>
      <c r="G175">
        <v>562200</v>
      </c>
      <c r="H175">
        <v>16866</v>
      </c>
      <c r="I175" s="1">
        <v>545334</v>
      </c>
      <c r="J175">
        <v>468500</v>
      </c>
      <c r="K175" s="1">
        <v>76834</v>
      </c>
      <c r="L175" s="3">
        <f>(K175/I175)</f>
        <v>0.14089347079037801</v>
      </c>
      <c r="M175" s="2">
        <v>41852</v>
      </c>
      <c r="N175">
        <v>8</v>
      </c>
      <c r="O175" t="s">
        <v>9</v>
      </c>
      <c r="P175">
        <v>2014</v>
      </c>
    </row>
    <row r="176" spans="1:16" x14ac:dyDescent="0.25">
      <c r="A176" t="s">
        <v>8</v>
      </c>
      <c r="B176" t="s">
        <v>11</v>
      </c>
      <c r="C176" t="s">
        <v>2</v>
      </c>
      <c r="D176" t="s">
        <v>30</v>
      </c>
      <c r="E176">
        <v>250</v>
      </c>
      <c r="F176">
        <v>350</v>
      </c>
      <c r="G176">
        <v>574700</v>
      </c>
      <c r="H176">
        <v>17241</v>
      </c>
      <c r="I176" s="1">
        <v>557459</v>
      </c>
      <c r="J176">
        <v>426920</v>
      </c>
      <c r="K176" s="1">
        <v>130539</v>
      </c>
      <c r="L176" s="3">
        <f>(K176/I176)</f>
        <v>0.2341678939617084</v>
      </c>
      <c r="M176" s="2">
        <v>41852</v>
      </c>
      <c r="N176">
        <v>8</v>
      </c>
      <c r="O176" t="s">
        <v>5</v>
      </c>
      <c r="P176">
        <v>2014</v>
      </c>
    </row>
    <row r="177" spans="1:16" x14ac:dyDescent="0.25">
      <c r="A177" t="s">
        <v>23</v>
      </c>
      <c r="B177" t="s">
        <v>19</v>
      </c>
      <c r="C177" t="s">
        <v>2</v>
      </c>
      <c r="D177" t="s">
        <v>30</v>
      </c>
      <c r="E177">
        <v>250</v>
      </c>
      <c r="F177">
        <v>15</v>
      </c>
      <c r="G177">
        <v>29175</v>
      </c>
      <c r="H177">
        <v>875.25</v>
      </c>
      <c r="I177" s="1">
        <v>28299.75</v>
      </c>
      <c r="J177">
        <v>19450</v>
      </c>
      <c r="K177" s="1">
        <v>8849.75</v>
      </c>
      <c r="L177" s="3">
        <f>(K177/I177)</f>
        <v>0.3127147766323024</v>
      </c>
      <c r="M177" s="2">
        <v>41548</v>
      </c>
      <c r="N177">
        <v>10</v>
      </c>
      <c r="O177" t="s">
        <v>0</v>
      </c>
      <c r="P177">
        <v>2013</v>
      </c>
    </row>
    <row r="178" spans="1:16" x14ac:dyDescent="0.25">
      <c r="A178" t="s">
        <v>8</v>
      </c>
      <c r="B178" t="s">
        <v>7</v>
      </c>
      <c r="C178" t="s">
        <v>28</v>
      </c>
      <c r="D178" t="s">
        <v>30</v>
      </c>
      <c r="E178">
        <v>3</v>
      </c>
      <c r="F178">
        <v>20</v>
      </c>
      <c r="G178">
        <v>16620</v>
      </c>
      <c r="H178">
        <v>498.6</v>
      </c>
      <c r="I178" s="1">
        <v>16121.4</v>
      </c>
      <c r="J178">
        <v>8310</v>
      </c>
      <c r="K178" s="1">
        <v>7811.4</v>
      </c>
      <c r="L178" s="3">
        <f>(K178/I178)</f>
        <v>0.4845360824742268</v>
      </c>
      <c r="M178" s="2">
        <v>41760</v>
      </c>
      <c r="N178">
        <v>5</v>
      </c>
      <c r="O178" t="s">
        <v>26</v>
      </c>
      <c r="P178">
        <v>2014</v>
      </c>
    </row>
    <row r="179" spans="1:16" x14ac:dyDescent="0.25">
      <c r="A179" t="s">
        <v>8</v>
      </c>
      <c r="B179" t="s">
        <v>11</v>
      </c>
      <c r="C179" t="s">
        <v>6</v>
      </c>
      <c r="D179" t="s">
        <v>30</v>
      </c>
      <c r="E179">
        <v>10</v>
      </c>
      <c r="F179">
        <v>7</v>
      </c>
      <c r="G179">
        <v>12320</v>
      </c>
      <c r="H179">
        <v>369.6</v>
      </c>
      <c r="I179" s="1">
        <v>11950.4</v>
      </c>
      <c r="J179">
        <v>8800</v>
      </c>
      <c r="K179" s="1">
        <v>3150.3999999999996</v>
      </c>
      <c r="L179" s="3">
        <f>(K179/I179)</f>
        <v>0.2636229749631811</v>
      </c>
      <c r="M179" s="2">
        <v>41518</v>
      </c>
      <c r="N179">
        <v>9</v>
      </c>
      <c r="O179" t="s">
        <v>25</v>
      </c>
      <c r="P179">
        <v>2013</v>
      </c>
    </row>
    <row r="180" spans="1:16" x14ac:dyDescent="0.25">
      <c r="A180" t="s">
        <v>8</v>
      </c>
      <c r="B180" t="s">
        <v>7</v>
      </c>
      <c r="C180" t="s">
        <v>27</v>
      </c>
      <c r="D180" t="s">
        <v>30</v>
      </c>
      <c r="E180">
        <v>120</v>
      </c>
      <c r="F180">
        <v>20</v>
      </c>
      <c r="G180">
        <v>77010</v>
      </c>
      <c r="H180">
        <v>2310.3000000000002</v>
      </c>
      <c r="I180" s="1">
        <v>74699.700000000012</v>
      </c>
      <c r="J180">
        <v>38505</v>
      </c>
      <c r="K180" s="1">
        <v>36194.700000000004</v>
      </c>
      <c r="L180" s="3">
        <f>(K180/I180)</f>
        <v>0.4845360824742268</v>
      </c>
      <c r="M180" s="2">
        <v>41730</v>
      </c>
      <c r="N180">
        <v>4</v>
      </c>
      <c r="O180" t="s">
        <v>24</v>
      </c>
      <c r="P180">
        <v>2014</v>
      </c>
    </row>
    <row r="181" spans="1:16" x14ac:dyDescent="0.25">
      <c r="A181" t="s">
        <v>4</v>
      </c>
      <c r="B181" t="s">
        <v>19</v>
      </c>
      <c r="C181" t="s">
        <v>2</v>
      </c>
      <c r="D181" t="s">
        <v>30</v>
      </c>
      <c r="E181">
        <v>250</v>
      </c>
      <c r="F181">
        <v>12</v>
      </c>
      <c r="G181">
        <v>29748</v>
      </c>
      <c r="H181">
        <v>892.44</v>
      </c>
      <c r="I181" s="1">
        <v>28855.56</v>
      </c>
      <c r="J181">
        <v>7437</v>
      </c>
      <c r="K181" s="1">
        <v>21418.560000000001</v>
      </c>
      <c r="L181" s="3">
        <f>(K181/I181)</f>
        <v>0.74226804123711343</v>
      </c>
      <c r="M181" s="2">
        <v>41640</v>
      </c>
      <c r="N181">
        <v>1</v>
      </c>
      <c r="O181" t="s">
        <v>22</v>
      </c>
      <c r="P181">
        <v>2014</v>
      </c>
    </row>
    <row r="182" spans="1:16" x14ac:dyDescent="0.25">
      <c r="A182" t="s">
        <v>23</v>
      </c>
      <c r="B182" t="s">
        <v>11</v>
      </c>
      <c r="C182" t="s">
        <v>10</v>
      </c>
      <c r="D182" t="s">
        <v>30</v>
      </c>
      <c r="E182">
        <v>5</v>
      </c>
      <c r="F182">
        <v>15</v>
      </c>
      <c r="G182">
        <v>30465</v>
      </c>
      <c r="H182">
        <v>1218.5999999999999</v>
      </c>
      <c r="I182" s="1">
        <v>29246.400000000001</v>
      </c>
      <c r="J182">
        <v>20310</v>
      </c>
      <c r="K182" s="1">
        <v>8936.4000000000015</v>
      </c>
      <c r="L182" s="3">
        <f>(K182/I182)</f>
        <v>0.30555555555555558</v>
      </c>
      <c r="M182" s="2">
        <v>41913</v>
      </c>
      <c r="N182">
        <v>10</v>
      </c>
      <c r="O182" t="s">
        <v>21</v>
      </c>
      <c r="P182">
        <v>2014</v>
      </c>
    </row>
    <row r="183" spans="1:16" x14ac:dyDescent="0.25">
      <c r="A183" t="s">
        <v>23</v>
      </c>
      <c r="B183" t="s">
        <v>11</v>
      </c>
      <c r="C183" t="s">
        <v>6</v>
      </c>
      <c r="D183" t="s">
        <v>30</v>
      </c>
      <c r="E183">
        <v>10</v>
      </c>
      <c r="F183">
        <v>15</v>
      </c>
      <c r="G183">
        <v>30465</v>
      </c>
      <c r="H183">
        <v>1218.5999999999999</v>
      </c>
      <c r="I183" s="1">
        <v>29246.400000000001</v>
      </c>
      <c r="J183">
        <v>20310</v>
      </c>
      <c r="K183" s="1">
        <v>8936.4000000000015</v>
      </c>
      <c r="L183" s="3">
        <f>(K183/I183)</f>
        <v>0.30555555555555558</v>
      </c>
      <c r="M183" s="2">
        <v>41913</v>
      </c>
      <c r="N183">
        <v>10</v>
      </c>
      <c r="O183" t="s">
        <v>18</v>
      </c>
      <c r="P183">
        <v>2014</v>
      </c>
    </row>
    <row r="184" spans="1:16" x14ac:dyDescent="0.25">
      <c r="A184" t="s">
        <v>23</v>
      </c>
      <c r="B184" t="s">
        <v>16</v>
      </c>
      <c r="C184" t="s">
        <v>6</v>
      </c>
      <c r="D184" t="s">
        <v>30</v>
      </c>
      <c r="E184">
        <v>10</v>
      </c>
      <c r="F184">
        <v>15</v>
      </c>
      <c r="G184">
        <v>33915</v>
      </c>
      <c r="H184">
        <v>1356.6</v>
      </c>
      <c r="I184" s="1">
        <v>32558.400000000001</v>
      </c>
      <c r="J184">
        <v>22610</v>
      </c>
      <c r="K184" s="1">
        <v>9948.4000000000015</v>
      </c>
      <c r="L184" s="3">
        <f>(K184/I184)</f>
        <v>0.30555555555555558</v>
      </c>
      <c r="M184" s="2">
        <v>41609</v>
      </c>
      <c r="N184">
        <v>12</v>
      </c>
      <c r="O184" t="s">
        <v>17</v>
      </c>
      <c r="P184">
        <v>2013</v>
      </c>
    </row>
    <row r="185" spans="1:16" x14ac:dyDescent="0.25">
      <c r="A185" t="s">
        <v>8</v>
      </c>
      <c r="B185" t="s">
        <v>3</v>
      </c>
      <c r="C185" t="s">
        <v>27</v>
      </c>
      <c r="D185" t="s">
        <v>30</v>
      </c>
      <c r="E185">
        <v>120</v>
      </c>
      <c r="F185">
        <v>20</v>
      </c>
      <c r="G185">
        <v>14720</v>
      </c>
      <c r="H185">
        <v>588.79999999999995</v>
      </c>
      <c r="I185" s="1">
        <v>14131.2</v>
      </c>
      <c r="J185">
        <v>7360</v>
      </c>
      <c r="K185" s="1">
        <v>6771.2000000000007</v>
      </c>
      <c r="L185" s="3">
        <f>(K185/I185)</f>
        <v>0.47916666666666669</v>
      </c>
      <c r="M185" s="2">
        <v>41518</v>
      </c>
      <c r="N185">
        <v>9</v>
      </c>
      <c r="O185" t="s">
        <v>15</v>
      </c>
      <c r="P185">
        <v>2013</v>
      </c>
    </row>
    <row r="186" spans="1:16" x14ac:dyDescent="0.25">
      <c r="A186" t="s">
        <v>8</v>
      </c>
      <c r="B186" t="s">
        <v>7</v>
      </c>
      <c r="C186" t="s">
        <v>28</v>
      </c>
      <c r="D186" t="s">
        <v>30</v>
      </c>
      <c r="E186">
        <v>3</v>
      </c>
      <c r="F186">
        <v>7</v>
      </c>
      <c r="G186">
        <v>19957</v>
      </c>
      <c r="H186">
        <v>798.28</v>
      </c>
      <c r="I186" s="1">
        <v>19158.72</v>
      </c>
      <c r="J186">
        <v>14255</v>
      </c>
      <c r="K186" s="1">
        <v>4903.7200000000012</v>
      </c>
      <c r="L186" s="3">
        <f>(K186/I186)</f>
        <v>0.25595238095238099</v>
      </c>
      <c r="M186" s="2">
        <v>41548</v>
      </c>
      <c r="N186">
        <v>10</v>
      </c>
      <c r="O186" t="s">
        <v>12</v>
      </c>
      <c r="P186">
        <v>2013</v>
      </c>
    </row>
    <row r="187" spans="1:16" x14ac:dyDescent="0.25">
      <c r="A187" t="s">
        <v>14</v>
      </c>
      <c r="B187" t="s">
        <v>19</v>
      </c>
      <c r="C187" t="s">
        <v>28</v>
      </c>
      <c r="D187" t="s">
        <v>30</v>
      </c>
      <c r="E187">
        <v>3</v>
      </c>
      <c r="F187">
        <v>300</v>
      </c>
      <c r="G187">
        <v>606300</v>
      </c>
      <c r="H187">
        <v>24252</v>
      </c>
      <c r="I187" s="1">
        <v>582048</v>
      </c>
      <c r="J187">
        <v>505250</v>
      </c>
      <c r="K187" s="1">
        <v>76798</v>
      </c>
      <c r="L187" s="3">
        <f>(K187/I187)</f>
        <v>0.13194444444444445</v>
      </c>
      <c r="M187" s="2">
        <v>41913</v>
      </c>
      <c r="N187">
        <v>10</v>
      </c>
      <c r="O187" t="s">
        <v>9</v>
      </c>
      <c r="P187">
        <v>2014</v>
      </c>
    </row>
    <row r="188" spans="1:16" x14ac:dyDescent="0.25">
      <c r="A188" t="s">
        <v>8</v>
      </c>
      <c r="B188" t="s">
        <v>3</v>
      </c>
      <c r="C188" t="s">
        <v>28</v>
      </c>
      <c r="D188" t="s">
        <v>30</v>
      </c>
      <c r="E188">
        <v>3</v>
      </c>
      <c r="F188">
        <v>350</v>
      </c>
      <c r="G188">
        <v>95900</v>
      </c>
      <c r="H188">
        <v>3836</v>
      </c>
      <c r="I188" s="1">
        <v>92064</v>
      </c>
      <c r="J188">
        <v>71240</v>
      </c>
      <c r="K188" s="1">
        <v>20824</v>
      </c>
      <c r="L188" s="3">
        <f>(K188/I188)</f>
        <v>0.22619047619047619</v>
      </c>
      <c r="M188" s="2">
        <v>41974</v>
      </c>
      <c r="N188">
        <v>12</v>
      </c>
      <c r="O188" t="s">
        <v>5</v>
      </c>
      <c r="P188">
        <v>2014</v>
      </c>
    </row>
    <row r="189" spans="1:16" x14ac:dyDescent="0.25">
      <c r="A189" t="s">
        <v>23</v>
      </c>
      <c r="B189" t="s">
        <v>7</v>
      </c>
      <c r="C189" t="s">
        <v>10</v>
      </c>
      <c r="D189" t="s">
        <v>30</v>
      </c>
      <c r="E189">
        <v>5</v>
      </c>
      <c r="F189">
        <v>15</v>
      </c>
      <c r="G189">
        <v>29505</v>
      </c>
      <c r="H189">
        <v>1180.2</v>
      </c>
      <c r="I189" s="1">
        <v>28324.799999999999</v>
      </c>
      <c r="J189">
        <v>19670</v>
      </c>
      <c r="K189" s="1">
        <v>8654.7999999999993</v>
      </c>
      <c r="L189" s="3">
        <f>(K189/I189)</f>
        <v>0.30555555555555552</v>
      </c>
      <c r="M189" s="2">
        <v>41699</v>
      </c>
      <c r="N189">
        <v>3</v>
      </c>
      <c r="O189" t="s">
        <v>0</v>
      </c>
      <c r="P189">
        <v>2014</v>
      </c>
    </row>
    <row r="190" spans="1:16" x14ac:dyDescent="0.25">
      <c r="A190" t="s">
        <v>14</v>
      </c>
      <c r="B190" t="s">
        <v>19</v>
      </c>
      <c r="C190" t="s">
        <v>10</v>
      </c>
      <c r="D190" t="s">
        <v>30</v>
      </c>
      <c r="E190">
        <v>5</v>
      </c>
      <c r="F190">
        <v>300</v>
      </c>
      <c r="G190">
        <v>557700</v>
      </c>
      <c r="H190">
        <v>22308</v>
      </c>
      <c r="I190" s="1">
        <v>535392</v>
      </c>
      <c r="J190">
        <v>464750</v>
      </c>
      <c r="K190" s="1">
        <v>70642</v>
      </c>
      <c r="L190" s="3">
        <f>(K190/I190)</f>
        <v>0.13194444444444445</v>
      </c>
      <c r="M190" s="2">
        <v>41852</v>
      </c>
      <c r="N190">
        <v>8</v>
      </c>
      <c r="O190" t="s">
        <v>26</v>
      </c>
      <c r="P190">
        <v>2014</v>
      </c>
    </row>
    <row r="191" spans="1:16" x14ac:dyDescent="0.25">
      <c r="A191" t="s">
        <v>8</v>
      </c>
      <c r="B191" t="s">
        <v>7</v>
      </c>
      <c r="C191" t="s">
        <v>10</v>
      </c>
      <c r="D191" t="s">
        <v>30</v>
      </c>
      <c r="E191">
        <v>5</v>
      </c>
      <c r="F191">
        <v>7</v>
      </c>
      <c r="G191">
        <v>19957</v>
      </c>
      <c r="H191">
        <v>798.28</v>
      </c>
      <c r="I191" s="1">
        <v>19158.72</v>
      </c>
      <c r="J191">
        <v>14255</v>
      </c>
      <c r="K191" s="1">
        <v>4903.7200000000012</v>
      </c>
      <c r="L191" s="3">
        <f>(K191/I191)</f>
        <v>0.25595238095238099</v>
      </c>
      <c r="M191" s="2">
        <v>41548</v>
      </c>
      <c r="N191">
        <v>10</v>
      </c>
      <c r="O191" t="s">
        <v>25</v>
      </c>
      <c r="P191">
        <v>2013</v>
      </c>
    </row>
    <row r="192" spans="1:16" x14ac:dyDescent="0.25">
      <c r="A192" t="s">
        <v>14</v>
      </c>
      <c r="B192" t="s">
        <v>19</v>
      </c>
      <c r="C192" t="s">
        <v>10</v>
      </c>
      <c r="D192" t="s">
        <v>30</v>
      </c>
      <c r="E192">
        <v>5</v>
      </c>
      <c r="F192">
        <v>300</v>
      </c>
      <c r="G192">
        <v>606300</v>
      </c>
      <c r="H192">
        <v>24252</v>
      </c>
      <c r="I192" s="1">
        <v>582048</v>
      </c>
      <c r="J192">
        <v>505250</v>
      </c>
      <c r="K192" s="1">
        <v>76798</v>
      </c>
      <c r="L192" s="3">
        <f>(K192/I192)</f>
        <v>0.13194444444444445</v>
      </c>
      <c r="M192" s="2">
        <v>41913</v>
      </c>
      <c r="N192">
        <v>10</v>
      </c>
      <c r="O192" t="s">
        <v>24</v>
      </c>
      <c r="P192">
        <v>2014</v>
      </c>
    </row>
    <row r="193" spans="1:16" x14ac:dyDescent="0.25">
      <c r="A193" t="s">
        <v>20</v>
      </c>
      <c r="B193" t="s">
        <v>11</v>
      </c>
      <c r="C193" t="s">
        <v>10</v>
      </c>
      <c r="D193" t="s">
        <v>30</v>
      </c>
      <c r="E193">
        <v>5</v>
      </c>
      <c r="F193">
        <v>125</v>
      </c>
      <c r="G193">
        <v>142250</v>
      </c>
      <c r="H193">
        <v>5690</v>
      </c>
      <c r="I193" s="1">
        <v>136560</v>
      </c>
      <c r="J193">
        <v>136560</v>
      </c>
      <c r="K193" s="1">
        <v>0</v>
      </c>
      <c r="L193" s="3">
        <f>(K193/I193)</f>
        <v>0</v>
      </c>
      <c r="M193" s="2">
        <v>41974</v>
      </c>
      <c r="N193">
        <v>12</v>
      </c>
      <c r="O193" t="s">
        <v>22</v>
      </c>
      <c r="P193">
        <v>2014</v>
      </c>
    </row>
    <row r="194" spans="1:16" x14ac:dyDescent="0.25">
      <c r="A194" t="s">
        <v>8</v>
      </c>
      <c r="B194" t="s">
        <v>7</v>
      </c>
      <c r="C194" t="s">
        <v>6</v>
      </c>
      <c r="D194" t="s">
        <v>30</v>
      </c>
      <c r="E194">
        <v>10</v>
      </c>
      <c r="F194">
        <v>7</v>
      </c>
      <c r="G194">
        <v>29757</v>
      </c>
      <c r="H194">
        <v>1190.28</v>
      </c>
      <c r="I194" s="1">
        <v>28566.720000000001</v>
      </c>
      <c r="J194">
        <v>21255</v>
      </c>
      <c r="K194" s="1">
        <v>7311.7199999999993</v>
      </c>
      <c r="L194" s="3">
        <f>(K194/I194)</f>
        <v>0.25595238095238093</v>
      </c>
      <c r="M194" s="2">
        <v>41640</v>
      </c>
      <c r="N194">
        <v>1</v>
      </c>
      <c r="O194" t="s">
        <v>21</v>
      </c>
      <c r="P194">
        <v>2014</v>
      </c>
    </row>
    <row r="195" spans="1:16" x14ac:dyDescent="0.25">
      <c r="A195" t="s">
        <v>20</v>
      </c>
      <c r="B195" t="s">
        <v>19</v>
      </c>
      <c r="C195" t="s">
        <v>6</v>
      </c>
      <c r="D195" t="s">
        <v>30</v>
      </c>
      <c r="E195">
        <v>10</v>
      </c>
      <c r="F195">
        <v>125</v>
      </c>
      <c r="G195">
        <v>99375</v>
      </c>
      <c r="H195">
        <v>3975</v>
      </c>
      <c r="I195" s="1">
        <v>95400</v>
      </c>
      <c r="J195">
        <v>95400</v>
      </c>
      <c r="K195" s="1">
        <v>0</v>
      </c>
      <c r="L195" s="3">
        <f>(K195/I195)</f>
        <v>0</v>
      </c>
      <c r="M195" s="2">
        <v>41699</v>
      </c>
      <c r="N195">
        <v>3</v>
      </c>
      <c r="O195" t="s">
        <v>18</v>
      </c>
      <c r="P195">
        <v>2014</v>
      </c>
    </row>
    <row r="196" spans="1:16" x14ac:dyDescent="0.25">
      <c r="A196" t="s">
        <v>14</v>
      </c>
      <c r="B196" t="s">
        <v>19</v>
      </c>
      <c r="C196" t="s">
        <v>6</v>
      </c>
      <c r="D196" t="s">
        <v>30</v>
      </c>
      <c r="E196">
        <v>10</v>
      </c>
      <c r="F196">
        <v>300</v>
      </c>
      <c r="G196">
        <v>424350</v>
      </c>
      <c r="H196">
        <v>16974</v>
      </c>
      <c r="I196" s="1">
        <v>407376</v>
      </c>
      <c r="J196">
        <v>353625</v>
      </c>
      <c r="K196" s="1">
        <v>53751</v>
      </c>
      <c r="L196" s="3">
        <f>(K196/I196)</f>
        <v>0.13194444444444445</v>
      </c>
      <c r="M196" s="2">
        <v>41730</v>
      </c>
      <c r="N196">
        <v>4</v>
      </c>
      <c r="O196" t="s">
        <v>17</v>
      </c>
      <c r="P196">
        <v>2014</v>
      </c>
    </row>
    <row r="197" spans="1:16" x14ac:dyDescent="0.25">
      <c r="A197" t="s">
        <v>14</v>
      </c>
      <c r="B197" t="s">
        <v>3</v>
      </c>
      <c r="C197" t="s">
        <v>6</v>
      </c>
      <c r="D197" t="s">
        <v>30</v>
      </c>
      <c r="E197">
        <v>10</v>
      </c>
      <c r="F197">
        <v>300</v>
      </c>
      <c r="G197">
        <v>875400</v>
      </c>
      <c r="H197">
        <v>35016</v>
      </c>
      <c r="I197" s="1">
        <v>840384</v>
      </c>
      <c r="J197">
        <v>729500</v>
      </c>
      <c r="K197" s="1">
        <v>110884</v>
      </c>
      <c r="L197" s="3">
        <f>(K197/I197)</f>
        <v>0.13194444444444445</v>
      </c>
      <c r="M197" s="2">
        <v>41760</v>
      </c>
      <c r="N197">
        <v>5</v>
      </c>
      <c r="O197" t="s">
        <v>15</v>
      </c>
      <c r="P197">
        <v>2014</v>
      </c>
    </row>
    <row r="198" spans="1:16" x14ac:dyDescent="0.25">
      <c r="A198" t="s">
        <v>8</v>
      </c>
      <c r="B198" t="s">
        <v>3</v>
      </c>
      <c r="C198" t="s">
        <v>6</v>
      </c>
      <c r="D198" t="s">
        <v>30</v>
      </c>
      <c r="E198">
        <v>10</v>
      </c>
      <c r="F198">
        <v>350</v>
      </c>
      <c r="G198">
        <v>1207500</v>
      </c>
      <c r="H198">
        <v>48300</v>
      </c>
      <c r="I198" s="1">
        <v>1159200</v>
      </c>
      <c r="J198">
        <v>897000</v>
      </c>
      <c r="K198" s="1">
        <v>262200</v>
      </c>
      <c r="L198" s="3">
        <f>(K198/I198)</f>
        <v>0.22619047619047619</v>
      </c>
      <c r="M198" s="2">
        <v>41821</v>
      </c>
      <c r="N198">
        <v>7</v>
      </c>
      <c r="O198" t="s">
        <v>12</v>
      </c>
      <c r="P198">
        <v>2014</v>
      </c>
    </row>
    <row r="199" spans="1:16" x14ac:dyDescent="0.25">
      <c r="A199" t="s">
        <v>20</v>
      </c>
      <c r="B199" t="s">
        <v>16</v>
      </c>
      <c r="C199" t="s">
        <v>6</v>
      </c>
      <c r="D199" t="s">
        <v>30</v>
      </c>
      <c r="E199">
        <v>10</v>
      </c>
      <c r="F199">
        <v>125</v>
      </c>
      <c r="G199">
        <v>373500</v>
      </c>
      <c r="H199">
        <v>14940</v>
      </c>
      <c r="I199" s="1">
        <v>358560</v>
      </c>
      <c r="J199">
        <v>358560</v>
      </c>
      <c r="K199" s="1">
        <v>0</v>
      </c>
      <c r="L199" s="3">
        <f>(K199/I199)</f>
        <v>0</v>
      </c>
      <c r="M199" s="2">
        <v>41821</v>
      </c>
      <c r="N199">
        <v>7</v>
      </c>
      <c r="O199" t="s">
        <v>9</v>
      </c>
      <c r="P199">
        <v>2014</v>
      </c>
    </row>
    <row r="200" spans="1:16" x14ac:dyDescent="0.25">
      <c r="A200" t="s">
        <v>23</v>
      </c>
      <c r="B200" t="s">
        <v>7</v>
      </c>
      <c r="C200" t="s">
        <v>6</v>
      </c>
      <c r="D200" t="s">
        <v>30</v>
      </c>
      <c r="E200">
        <v>10</v>
      </c>
      <c r="F200">
        <v>15</v>
      </c>
      <c r="G200">
        <v>3270</v>
      </c>
      <c r="H200">
        <v>130.80000000000001</v>
      </c>
      <c r="I200" s="1">
        <v>3139.2</v>
      </c>
      <c r="J200">
        <v>2180</v>
      </c>
      <c r="K200" s="1">
        <v>959.19999999999982</v>
      </c>
      <c r="L200" s="3">
        <f>(K200/I200)</f>
        <v>0.30555555555555552</v>
      </c>
      <c r="M200" s="2">
        <v>41883</v>
      </c>
      <c r="N200">
        <v>9</v>
      </c>
      <c r="O200" t="s">
        <v>5</v>
      </c>
      <c r="P200">
        <v>2014</v>
      </c>
    </row>
    <row r="201" spans="1:16" x14ac:dyDescent="0.25">
      <c r="A201" t="s">
        <v>8</v>
      </c>
      <c r="B201" t="s">
        <v>7</v>
      </c>
      <c r="C201" t="s">
        <v>6</v>
      </c>
      <c r="D201" t="s">
        <v>30</v>
      </c>
      <c r="E201">
        <v>10</v>
      </c>
      <c r="F201">
        <v>20</v>
      </c>
      <c r="G201">
        <v>41480</v>
      </c>
      <c r="H201">
        <v>1659.2</v>
      </c>
      <c r="I201" s="1">
        <v>39820.800000000003</v>
      </c>
      <c r="J201">
        <v>20740</v>
      </c>
      <c r="K201" s="1">
        <v>19080.800000000003</v>
      </c>
      <c r="L201" s="3">
        <f>(K201/I201)</f>
        <v>0.47916666666666669</v>
      </c>
      <c r="M201" s="2">
        <v>41883</v>
      </c>
      <c r="N201">
        <v>9</v>
      </c>
      <c r="O201" t="s">
        <v>0</v>
      </c>
      <c r="P201">
        <v>2014</v>
      </c>
    </row>
    <row r="202" spans="1:16" x14ac:dyDescent="0.25">
      <c r="A202" t="s">
        <v>8</v>
      </c>
      <c r="B202" t="s">
        <v>3</v>
      </c>
      <c r="C202" t="s">
        <v>6</v>
      </c>
      <c r="D202" t="s">
        <v>30</v>
      </c>
      <c r="E202">
        <v>10</v>
      </c>
      <c r="F202">
        <v>20</v>
      </c>
      <c r="G202">
        <v>21120</v>
      </c>
      <c r="H202">
        <v>844.8</v>
      </c>
      <c r="I202" s="1">
        <v>20275.2</v>
      </c>
      <c r="J202">
        <v>10560</v>
      </c>
      <c r="K202" s="1">
        <v>9715.2000000000007</v>
      </c>
      <c r="L202" s="3">
        <f>(K202/I202)</f>
        <v>0.47916666666666669</v>
      </c>
      <c r="M202" s="2">
        <v>41883</v>
      </c>
      <c r="N202">
        <v>9</v>
      </c>
      <c r="O202" t="s">
        <v>26</v>
      </c>
      <c r="P202">
        <v>2014</v>
      </c>
    </row>
    <row r="203" spans="1:16" x14ac:dyDescent="0.25">
      <c r="A203" t="s">
        <v>23</v>
      </c>
      <c r="B203" t="s">
        <v>3</v>
      </c>
      <c r="C203" t="s">
        <v>6</v>
      </c>
      <c r="D203" t="s">
        <v>30</v>
      </c>
      <c r="E203">
        <v>10</v>
      </c>
      <c r="F203">
        <v>15</v>
      </c>
      <c r="G203">
        <v>10065</v>
      </c>
      <c r="H203">
        <v>402.6</v>
      </c>
      <c r="I203" s="1">
        <v>9662.4</v>
      </c>
      <c r="J203">
        <v>6710</v>
      </c>
      <c r="K203" s="1">
        <v>2952.3999999999996</v>
      </c>
      <c r="L203" s="3">
        <f>(K203/I203)</f>
        <v>0.30555555555555552</v>
      </c>
      <c r="M203" s="2">
        <v>41548</v>
      </c>
      <c r="N203">
        <v>10</v>
      </c>
      <c r="O203" t="s">
        <v>25</v>
      </c>
      <c r="P203">
        <v>2013</v>
      </c>
    </row>
    <row r="204" spans="1:16" x14ac:dyDescent="0.25">
      <c r="A204" t="s">
        <v>23</v>
      </c>
      <c r="B204" t="s">
        <v>11</v>
      </c>
      <c r="C204" t="s">
        <v>6</v>
      </c>
      <c r="D204" t="s">
        <v>30</v>
      </c>
      <c r="E204">
        <v>10</v>
      </c>
      <c r="F204">
        <v>15</v>
      </c>
      <c r="G204">
        <v>22710</v>
      </c>
      <c r="H204">
        <v>908.4</v>
      </c>
      <c r="I204" s="1">
        <v>21801.599999999999</v>
      </c>
      <c r="J204">
        <v>15140</v>
      </c>
      <c r="K204" s="1">
        <v>6661.5999999999985</v>
      </c>
      <c r="L204" s="3">
        <f>(K204/I204)</f>
        <v>0.30555555555555552</v>
      </c>
      <c r="M204" s="2">
        <v>41548</v>
      </c>
      <c r="N204">
        <v>10</v>
      </c>
      <c r="O204" t="s">
        <v>24</v>
      </c>
      <c r="P204">
        <v>2013</v>
      </c>
    </row>
    <row r="205" spans="1:16" x14ac:dyDescent="0.25">
      <c r="A205" t="s">
        <v>8</v>
      </c>
      <c r="B205" t="s">
        <v>3</v>
      </c>
      <c r="C205" t="s">
        <v>6</v>
      </c>
      <c r="D205" t="s">
        <v>30</v>
      </c>
      <c r="E205">
        <v>10</v>
      </c>
      <c r="F205">
        <v>350</v>
      </c>
      <c r="G205">
        <v>95900</v>
      </c>
      <c r="H205">
        <v>3836</v>
      </c>
      <c r="I205" s="1">
        <v>92064</v>
      </c>
      <c r="J205">
        <v>71240</v>
      </c>
      <c r="K205" s="1">
        <v>20824</v>
      </c>
      <c r="L205" s="3">
        <f>(K205/I205)</f>
        <v>0.22619047619047619</v>
      </c>
      <c r="M205" s="2">
        <v>41974</v>
      </c>
      <c r="N205">
        <v>12</v>
      </c>
      <c r="O205" t="s">
        <v>22</v>
      </c>
      <c r="P205">
        <v>2014</v>
      </c>
    </row>
    <row r="206" spans="1:16" x14ac:dyDescent="0.25">
      <c r="A206" t="s">
        <v>20</v>
      </c>
      <c r="B206" t="s">
        <v>11</v>
      </c>
      <c r="C206" t="s">
        <v>6</v>
      </c>
      <c r="D206" t="s">
        <v>30</v>
      </c>
      <c r="E206">
        <v>10</v>
      </c>
      <c r="F206">
        <v>125</v>
      </c>
      <c r="G206">
        <v>142250</v>
      </c>
      <c r="H206">
        <v>5690</v>
      </c>
      <c r="I206" s="1">
        <v>136560</v>
      </c>
      <c r="J206">
        <v>136560</v>
      </c>
      <c r="K206" s="1">
        <v>0</v>
      </c>
      <c r="L206" s="3">
        <f>(K206/I206)</f>
        <v>0</v>
      </c>
      <c r="M206" s="2">
        <v>41974</v>
      </c>
      <c r="N206">
        <v>12</v>
      </c>
      <c r="O206" t="s">
        <v>21</v>
      </c>
      <c r="P206">
        <v>2014</v>
      </c>
    </row>
    <row r="207" spans="1:16" x14ac:dyDescent="0.25">
      <c r="A207" t="s">
        <v>4</v>
      </c>
      <c r="B207" t="s">
        <v>3</v>
      </c>
      <c r="C207" t="s">
        <v>27</v>
      </c>
      <c r="D207" t="s">
        <v>30</v>
      </c>
      <c r="E207">
        <v>120</v>
      </c>
      <c r="F207">
        <v>12</v>
      </c>
      <c r="G207">
        <v>17580</v>
      </c>
      <c r="H207">
        <v>703.2</v>
      </c>
      <c r="I207" s="1">
        <v>16876.8</v>
      </c>
      <c r="J207">
        <v>4395</v>
      </c>
      <c r="K207" s="1">
        <v>12481.8</v>
      </c>
      <c r="L207" s="3">
        <f>(K207/I207)</f>
        <v>0.73958333333333337</v>
      </c>
      <c r="M207" s="2">
        <v>41699</v>
      </c>
      <c r="N207">
        <v>3</v>
      </c>
      <c r="O207" t="s">
        <v>18</v>
      </c>
      <c r="P207">
        <v>2014</v>
      </c>
    </row>
    <row r="208" spans="1:16" x14ac:dyDescent="0.25">
      <c r="A208" t="s">
        <v>8</v>
      </c>
      <c r="B208" t="s">
        <v>7</v>
      </c>
      <c r="C208" t="s">
        <v>27</v>
      </c>
      <c r="D208" t="s">
        <v>30</v>
      </c>
      <c r="E208">
        <v>120</v>
      </c>
      <c r="F208">
        <v>20</v>
      </c>
      <c r="G208">
        <v>52920</v>
      </c>
      <c r="H208">
        <v>2116.8000000000002</v>
      </c>
      <c r="I208" s="1">
        <v>50803.199999999997</v>
      </c>
      <c r="J208">
        <v>26460</v>
      </c>
      <c r="K208" s="1">
        <v>24343.199999999997</v>
      </c>
      <c r="L208" s="3">
        <f>(K208/I208)</f>
        <v>0.47916666666666663</v>
      </c>
      <c r="M208" s="2">
        <v>41518</v>
      </c>
      <c r="N208">
        <v>9</v>
      </c>
      <c r="O208" t="s">
        <v>17</v>
      </c>
      <c r="P208">
        <v>2013</v>
      </c>
    </row>
    <row r="209" spans="1:16" x14ac:dyDescent="0.25">
      <c r="A209" t="s">
        <v>8</v>
      </c>
      <c r="B209" t="s">
        <v>16</v>
      </c>
      <c r="C209" t="s">
        <v>27</v>
      </c>
      <c r="D209" t="s">
        <v>30</v>
      </c>
      <c r="E209">
        <v>120</v>
      </c>
      <c r="F209">
        <v>350</v>
      </c>
      <c r="G209">
        <v>761950</v>
      </c>
      <c r="H209">
        <v>30478</v>
      </c>
      <c r="I209" s="1">
        <v>731472</v>
      </c>
      <c r="J209">
        <v>566020</v>
      </c>
      <c r="K209" s="1">
        <v>165452</v>
      </c>
      <c r="L209" s="3">
        <f>(K209/I209)</f>
        <v>0.22619047619047619</v>
      </c>
      <c r="M209" s="2">
        <v>41913</v>
      </c>
      <c r="N209">
        <v>10</v>
      </c>
      <c r="O209" t="s">
        <v>15</v>
      </c>
      <c r="P209">
        <v>2014</v>
      </c>
    </row>
    <row r="210" spans="1:16" x14ac:dyDescent="0.25">
      <c r="A210" t="s">
        <v>4</v>
      </c>
      <c r="B210" t="s">
        <v>16</v>
      </c>
      <c r="C210" t="s">
        <v>2</v>
      </c>
      <c r="D210" t="s">
        <v>30</v>
      </c>
      <c r="E210">
        <v>250</v>
      </c>
      <c r="F210">
        <v>12</v>
      </c>
      <c r="G210">
        <v>10392</v>
      </c>
      <c r="H210">
        <v>415.68</v>
      </c>
      <c r="I210" s="1">
        <v>9976.32</v>
      </c>
      <c r="J210">
        <v>2598</v>
      </c>
      <c r="K210" s="1">
        <v>7378.32</v>
      </c>
      <c r="L210" s="3">
        <f>(K210/I210)</f>
        <v>0.73958333333333337</v>
      </c>
      <c r="M210" s="2">
        <v>41760</v>
      </c>
      <c r="N210">
        <v>5</v>
      </c>
      <c r="O210" t="s">
        <v>12</v>
      </c>
      <c r="P210">
        <v>2014</v>
      </c>
    </row>
    <row r="211" spans="1:16" x14ac:dyDescent="0.25">
      <c r="A211" t="s">
        <v>8</v>
      </c>
      <c r="B211" t="s">
        <v>3</v>
      </c>
      <c r="C211" t="s">
        <v>2</v>
      </c>
      <c r="D211" t="s">
        <v>30</v>
      </c>
      <c r="E211">
        <v>250</v>
      </c>
      <c r="F211">
        <v>350</v>
      </c>
      <c r="G211">
        <v>122150</v>
      </c>
      <c r="H211">
        <v>4886</v>
      </c>
      <c r="I211" s="1">
        <v>117264</v>
      </c>
      <c r="J211">
        <v>90740</v>
      </c>
      <c r="K211" s="1">
        <v>26524</v>
      </c>
      <c r="L211" s="3">
        <f>(K211/I211)</f>
        <v>0.22619047619047619</v>
      </c>
      <c r="M211" s="2">
        <v>41518</v>
      </c>
      <c r="N211">
        <v>9</v>
      </c>
      <c r="O211" t="s">
        <v>9</v>
      </c>
      <c r="P211">
        <v>2013</v>
      </c>
    </row>
    <row r="212" spans="1:16" x14ac:dyDescent="0.25">
      <c r="A212" t="s">
        <v>8</v>
      </c>
      <c r="B212" t="s">
        <v>16</v>
      </c>
      <c r="C212" t="s">
        <v>2</v>
      </c>
      <c r="D212" t="s">
        <v>30</v>
      </c>
      <c r="E212">
        <v>250</v>
      </c>
      <c r="F212">
        <v>350</v>
      </c>
      <c r="G212">
        <v>761950</v>
      </c>
      <c r="H212">
        <v>30478</v>
      </c>
      <c r="I212" s="1">
        <v>731472</v>
      </c>
      <c r="J212">
        <v>566020</v>
      </c>
      <c r="K212" s="1">
        <v>165452</v>
      </c>
      <c r="L212" s="3">
        <f>(K212/I212)</f>
        <v>0.22619047619047619</v>
      </c>
      <c r="M212" s="2">
        <v>41913</v>
      </c>
      <c r="N212">
        <v>10</v>
      </c>
      <c r="O212" t="s">
        <v>5</v>
      </c>
      <c r="P212">
        <v>2014</v>
      </c>
    </row>
    <row r="213" spans="1:16" x14ac:dyDescent="0.25">
      <c r="A213" t="s">
        <v>23</v>
      </c>
      <c r="B213" t="s">
        <v>11</v>
      </c>
      <c r="C213" t="s">
        <v>2</v>
      </c>
      <c r="D213" t="s">
        <v>30</v>
      </c>
      <c r="E213">
        <v>250</v>
      </c>
      <c r="F213">
        <v>15</v>
      </c>
      <c r="G213">
        <v>22710</v>
      </c>
      <c r="H213">
        <v>908.4</v>
      </c>
      <c r="I213" s="1">
        <v>21801.599999999999</v>
      </c>
      <c r="J213">
        <v>15140</v>
      </c>
      <c r="K213" s="1">
        <v>6661.5999999999985</v>
      </c>
      <c r="L213" s="3">
        <f>(K213/I213)</f>
        <v>0.30555555555555552</v>
      </c>
      <c r="M213" s="2">
        <v>41548</v>
      </c>
      <c r="N213">
        <v>10</v>
      </c>
      <c r="O213" t="s">
        <v>0</v>
      </c>
      <c r="P213">
        <v>2013</v>
      </c>
    </row>
    <row r="214" spans="1:16" x14ac:dyDescent="0.25">
      <c r="A214" t="s">
        <v>8</v>
      </c>
      <c r="B214" t="s">
        <v>11</v>
      </c>
      <c r="C214" t="s">
        <v>13</v>
      </c>
      <c r="D214" t="s">
        <v>30</v>
      </c>
      <c r="E214">
        <v>260</v>
      </c>
      <c r="F214">
        <v>350</v>
      </c>
      <c r="G214">
        <v>652750</v>
      </c>
      <c r="H214">
        <v>26110</v>
      </c>
      <c r="I214" s="1">
        <v>626640</v>
      </c>
      <c r="J214">
        <v>484900</v>
      </c>
      <c r="K214" s="1">
        <v>141740</v>
      </c>
      <c r="L214" s="3">
        <f>(K214/I214)</f>
        <v>0.22619047619047619</v>
      </c>
      <c r="M214" s="2">
        <v>41671</v>
      </c>
      <c r="N214">
        <v>2</v>
      </c>
      <c r="O214" t="s">
        <v>26</v>
      </c>
      <c r="P214">
        <v>2014</v>
      </c>
    </row>
    <row r="215" spans="1:16" x14ac:dyDescent="0.25">
      <c r="A215" t="s">
        <v>20</v>
      </c>
      <c r="B215" t="s">
        <v>11</v>
      </c>
      <c r="C215" t="s">
        <v>13</v>
      </c>
      <c r="D215" t="s">
        <v>30</v>
      </c>
      <c r="E215">
        <v>260</v>
      </c>
      <c r="F215">
        <v>125</v>
      </c>
      <c r="G215">
        <v>134250</v>
      </c>
      <c r="H215">
        <v>5370</v>
      </c>
      <c r="I215" s="1">
        <v>128880</v>
      </c>
      <c r="J215">
        <v>128880</v>
      </c>
      <c r="K215" s="1">
        <v>0</v>
      </c>
      <c r="L215" s="3">
        <f>(K215/I215)</f>
        <v>0</v>
      </c>
      <c r="M215" s="2">
        <v>41730</v>
      </c>
      <c r="N215">
        <v>4</v>
      </c>
      <c r="O215" t="s">
        <v>25</v>
      </c>
      <c r="P215">
        <v>2014</v>
      </c>
    </row>
    <row r="216" spans="1:16" x14ac:dyDescent="0.25">
      <c r="A216" t="s">
        <v>8</v>
      </c>
      <c r="B216" t="s">
        <v>19</v>
      </c>
      <c r="C216" t="s">
        <v>13</v>
      </c>
      <c r="D216" t="s">
        <v>30</v>
      </c>
      <c r="E216">
        <v>260</v>
      </c>
      <c r="F216">
        <v>350</v>
      </c>
      <c r="G216">
        <v>667450</v>
      </c>
      <c r="H216">
        <v>26698</v>
      </c>
      <c r="I216" s="1">
        <v>640752</v>
      </c>
      <c r="J216">
        <v>495820</v>
      </c>
      <c r="K216" s="1">
        <v>144932</v>
      </c>
      <c r="L216" s="3">
        <f>(K216/I216)</f>
        <v>0.22619047619047619</v>
      </c>
      <c r="M216" s="2">
        <v>41883</v>
      </c>
      <c r="N216">
        <v>9</v>
      </c>
      <c r="O216" t="s">
        <v>24</v>
      </c>
      <c r="P216">
        <v>2014</v>
      </c>
    </row>
    <row r="217" spans="1:16" x14ac:dyDescent="0.25">
      <c r="A217" t="s">
        <v>23</v>
      </c>
      <c r="B217" t="s">
        <v>3</v>
      </c>
      <c r="C217" t="s">
        <v>13</v>
      </c>
      <c r="D217" t="s">
        <v>30</v>
      </c>
      <c r="E217">
        <v>260</v>
      </c>
      <c r="F217">
        <v>15</v>
      </c>
      <c r="G217">
        <v>10065</v>
      </c>
      <c r="H217">
        <v>402.6</v>
      </c>
      <c r="I217" s="1">
        <v>9662.4</v>
      </c>
      <c r="J217">
        <v>6710</v>
      </c>
      <c r="K217" s="1">
        <v>2952.3999999999996</v>
      </c>
      <c r="L217" s="3">
        <f>(K217/I217)</f>
        <v>0.30555555555555552</v>
      </c>
      <c r="M217" s="2">
        <v>41548</v>
      </c>
      <c r="N217">
        <v>10</v>
      </c>
      <c r="O217" t="s">
        <v>22</v>
      </c>
      <c r="P217">
        <v>2013</v>
      </c>
    </row>
    <row r="218" spans="1:16" x14ac:dyDescent="0.25">
      <c r="A218" t="s">
        <v>8</v>
      </c>
      <c r="B218" t="s">
        <v>7</v>
      </c>
      <c r="C218" t="s">
        <v>13</v>
      </c>
      <c r="D218" t="s">
        <v>30</v>
      </c>
      <c r="E218">
        <v>260</v>
      </c>
      <c r="F218">
        <v>350</v>
      </c>
      <c r="G218">
        <v>622300</v>
      </c>
      <c r="H218">
        <v>24892</v>
      </c>
      <c r="I218" s="1">
        <v>597408</v>
      </c>
      <c r="J218">
        <v>462280</v>
      </c>
      <c r="K218" s="1">
        <v>135128</v>
      </c>
      <c r="L218" s="3">
        <f>(K218/I218)</f>
        <v>0.22619047619047619</v>
      </c>
      <c r="M218" s="2">
        <v>41609</v>
      </c>
      <c r="N218">
        <v>12</v>
      </c>
      <c r="O218" t="s">
        <v>21</v>
      </c>
      <c r="P218">
        <v>2013</v>
      </c>
    </row>
    <row r="219" spans="1:16" x14ac:dyDescent="0.25">
      <c r="A219" t="s">
        <v>8</v>
      </c>
      <c r="B219" t="s">
        <v>19</v>
      </c>
      <c r="C219" t="s">
        <v>10</v>
      </c>
      <c r="D219" t="s">
        <v>29</v>
      </c>
      <c r="E219">
        <v>5</v>
      </c>
      <c r="F219">
        <v>7</v>
      </c>
      <c r="G219">
        <v>8113</v>
      </c>
      <c r="H219">
        <v>405.65</v>
      </c>
      <c r="I219" s="1">
        <v>7707.35</v>
      </c>
      <c r="J219">
        <v>5795</v>
      </c>
      <c r="K219" s="1">
        <v>1912.3500000000004</v>
      </c>
      <c r="L219" s="3">
        <f>(K219/I219)</f>
        <v>0.24812030075187974</v>
      </c>
      <c r="M219" s="2">
        <v>41548</v>
      </c>
      <c r="N219">
        <v>10</v>
      </c>
      <c r="O219" t="s">
        <v>18</v>
      </c>
      <c r="P219">
        <v>2013</v>
      </c>
    </row>
    <row r="220" spans="1:16" x14ac:dyDescent="0.25">
      <c r="A220" t="s">
        <v>8</v>
      </c>
      <c r="B220" t="s">
        <v>19</v>
      </c>
      <c r="C220" t="s">
        <v>6</v>
      </c>
      <c r="D220" t="s">
        <v>29</v>
      </c>
      <c r="E220">
        <v>10</v>
      </c>
      <c r="F220">
        <v>7</v>
      </c>
      <c r="G220">
        <v>9604</v>
      </c>
      <c r="H220">
        <v>480.2</v>
      </c>
      <c r="I220" s="1">
        <v>9123.7999999999993</v>
      </c>
      <c r="J220">
        <v>6860</v>
      </c>
      <c r="K220" s="1">
        <v>2263.7999999999993</v>
      </c>
      <c r="L220" s="3">
        <f>(K220/I220)</f>
        <v>0.24812030075187963</v>
      </c>
      <c r="M220" s="2">
        <v>41640</v>
      </c>
      <c r="N220">
        <v>1</v>
      </c>
      <c r="O220" t="s">
        <v>17</v>
      </c>
      <c r="P220">
        <v>2014</v>
      </c>
    </row>
    <row r="221" spans="1:16" x14ac:dyDescent="0.25">
      <c r="A221" t="s">
        <v>8</v>
      </c>
      <c r="B221" t="s">
        <v>7</v>
      </c>
      <c r="C221" t="s">
        <v>6</v>
      </c>
      <c r="D221" t="s">
        <v>29</v>
      </c>
      <c r="E221">
        <v>10</v>
      </c>
      <c r="F221">
        <v>7</v>
      </c>
      <c r="G221">
        <v>16443</v>
      </c>
      <c r="H221">
        <v>822.15</v>
      </c>
      <c r="I221" s="1">
        <v>15620.85</v>
      </c>
      <c r="J221">
        <v>11745</v>
      </c>
      <c r="K221" s="1">
        <v>3875.8500000000004</v>
      </c>
      <c r="L221" s="3">
        <f>(K221/I221)</f>
        <v>0.24812030075187971</v>
      </c>
      <c r="M221" s="2">
        <v>41518</v>
      </c>
      <c r="N221">
        <v>9</v>
      </c>
      <c r="O221" t="s">
        <v>15</v>
      </c>
      <c r="P221">
        <v>2013</v>
      </c>
    </row>
    <row r="222" spans="1:16" x14ac:dyDescent="0.25">
      <c r="A222" t="s">
        <v>8</v>
      </c>
      <c r="B222" t="s">
        <v>11</v>
      </c>
      <c r="C222" t="s">
        <v>6</v>
      </c>
      <c r="D222" t="s">
        <v>29</v>
      </c>
      <c r="E222">
        <v>10</v>
      </c>
      <c r="F222">
        <v>7</v>
      </c>
      <c r="G222">
        <v>18823</v>
      </c>
      <c r="H222">
        <v>941.15</v>
      </c>
      <c r="I222" s="1">
        <v>17881.849999999999</v>
      </c>
      <c r="J222">
        <v>13445</v>
      </c>
      <c r="K222" s="1">
        <v>4436.8499999999985</v>
      </c>
      <c r="L222" s="3">
        <f>(K222/I222)</f>
        <v>0.24812030075187963</v>
      </c>
      <c r="M222" s="2">
        <v>41913</v>
      </c>
      <c r="N222">
        <v>10</v>
      </c>
      <c r="O222" t="s">
        <v>12</v>
      </c>
      <c r="P222">
        <v>2014</v>
      </c>
    </row>
    <row r="223" spans="1:16" x14ac:dyDescent="0.25">
      <c r="A223" t="s">
        <v>4</v>
      </c>
      <c r="B223" t="s">
        <v>7</v>
      </c>
      <c r="C223" t="s">
        <v>6</v>
      </c>
      <c r="D223" t="s">
        <v>29</v>
      </c>
      <c r="E223">
        <v>10</v>
      </c>
      <c r="F223">
        <v>12</v>
      </c>
      <c r="G223">
        <v>29172</v>
      </c>
      <c r="H223">
        <v>1458.6</v>
      </c>
      <c r="I223" s="1">
        <v>27713.4</v>
      </c>
      <c r="J223">
        <v>7293</v>
      </c>
      <c r="K223" s="1">
        <v>20420.400000000001</v>
      </c>
      <c r="L223" s="3">
        <f>(K223/I223)</f>
        <v>0.73684210526315785</v>
      </c>
      <c r="M223" s="2">
        <v>41974</v>
      </c>
      <c r="N223">
        <v>12</v>
      </c>
      <c r="O223" t="s">
        <v>9</v>
      </c>
      <c r="P223">
        <v>2014</v>
      </c>
    </row>
    <row r="224" spans="1:16" x14ac:dyDescent="0.25">
      <c r="A224" t="s">
        <v>4</v>
      </c>
      <c r="B224" t="s">
        <v>7</v>
      </c>
      <c r="C224" t="s">
        <v>27</v>
      </c>
      <c r="D224" t="s">
        <v>29</v>
      </c>
      <c r="E224">
        <v>120</v>
      </c>
      <c r="F224">
        <v>12</v>
      </c>
      <c r="G224">
        <v>29172</v>
      </c>
      <c r="H224">
        <v>1458.6</v>
      </c>
      <c r="I224" s="1">
        <v>27713.4</v>
      </c>
      <c r="J224">
        <v>7293</v>
      </c>
      <c r="K224" s="1">
        <v>20420.400000000001</v>
      </c>
      <c r="L224" s="3">
        <f>(K224/I224)</f>
        <v>0.73684210526315785</v>
      </c>
      <c r="M224" s="2">
        <v>41974</v>
      </c>
      <c r="N224">
        <v>12</v>
      </c>
      <c r="O224" t="s">
        <v>5</v>
      </c>
      <c r="P224">
        <v>2014</v>
      </c>
    </row>
    <row r="225" spans="1:16" x14ac:dyDescent="0.25">
      <c r="A225" t="s">
        <v>8</v>
      </c>
      <c r="B225" t="s">
        <v>11</v>
      </c>
      <c r="C225" t="s">
        <v>2</v>
      </c>
      <c r="D225" t="s">
        <v>29</v>
      </c>
      <c r="E225">
        <v>250</v>
      </c>
      <c r="F225">
        <v>7</v>
      </c>
      <c r="G225">
        <v>18823</v>
      </c>
      <c r="H225">
        <v>941.15</v>
      </c>
      <c r="I225" s="1">
        <v>17881.849999999999</v>
      </c>
      <c r="J225">
        <v>13445</v>
      </c>
      <c r="K225" s="1">
        <v>4436.8499999999985</v>
      </c>
      <c r="L225" s="3">
        <f>(K225/I225)</f>
        <v>0.24812030075187963</v>
      </c>
      <c r="M225" s="2">
        <v>41913</v>
      </c>
      <c r="N225">
        <v>10</v>
      </c>
      <c r="O225" t="s">
        <v>0</v>
      </c>
      <c r="P225">
        <v>2014</v>
      </c>
    </row>
    <row r="226" spans="1:16" x14ac:dyDescent="0.25">
      <c r="A226" t="s">
        <v>8</v>
      </c>
      <c r="B226" t="s">
        <v>11</v>
      </c>
      <c r="C226" t="s">
        <v>13</v>
      </c>
      <c r="D226" t="s">
        <v>29</v>
      </c>
      <c r="E226">
        <v>260</v>
      </c>
      <c r="F226">
        <v>7</v>
      </c>
      <c r="G226">
        <v>11781</v>
      </c>
      <c r="H226">
        <v>589.04999999999995</v>
      </c>
      <c r="I226" s="1">
        <v>11191.95</v>
      </c>
      <c r="J226">
        <v>8415</v>
      </c>
      <c r="K226" s="1">
        <v>2776.9500000000007</v>
      </c>
      <c r="L226" s="3">
        <f>(K226/I226)</f>
        <v>0.24812030075187974</v>
      </c>
      <c r="M226" s="2">
        <v>41821</v>
      </c>
      <c r="N226">
        <v>7</v>
      </c>
      <c r="O226" t="s">
        <v>26</v>
      </c>
      <c r="P226">
        <v>2014</v>
      </c>
    </row>
    <row r="227" spans="1:16" x14ac:dyDescent="0.25">
      <c r="A227" t="s">
        <v>4</v>
      </c>
      <c r="B227" t="s">
        <v>11</v>
      </c>
      <c r="C227" t="s">
        <v>13</v>
      </c>
      <c r="D227" t="s">
        <v>29</v>
      </c>
      <c r="E227">
        <v>260</v>
      </c>
      <c r="F227">
        <v>12</v>
      </c>
      <c r="G227">
        <v>13476</v>
      </c>
      <c r="H227">
        <v>673.8</v>
      </c>
      <c r="I227" s="1">
        <v>12802.2</v>
      </c>
      <c r="J227">
        <v>3369</v>
      </c>
      <c r="K227" s="1">
        <v>9433.2000000000007</v>
      </c>
      <c r="L227" s="3">
        <f>(K227/I227)</f>
        <v>0.73684210526315796</v>
      </c>
      <c r="M227" s="2">
        <v>41852</v>
      </c>
      <c r="N227">
        <v>8</v>
      </c>
      <c r="O227" t="s">
        <v>25</v>
      </c>
      <c r="P227">
        <v>2014</v>
      </c>
    </row>
    <row r="228" spans="1:16" x14ac:dyDescent="0.25">
      <c r="A228" t="s">
        <v>8</v>
      </c>
      <c r="B228" t="s">
        <v>19</v>
      </c>
      <c r="C228" t="s">
        <v>13</v>
      </c>
      <c r="D228" t="s">
        <v>29</v>
      </c>
      <c r="E228">
        <v>260</v>
      </c>
      <c r="F228">
        <v>7</v>
      </c>
      <c r="G228">
        <v>8113</v>
      </c>
      <c r="H228">
        <v>405.65</v>
      </c>
      <c r="I228" s="1">
        <v>7707.35</v>
      </c>
      <c r="J228">
        <v>5795</v>
      </c>
      <c r="K228" s="1">
        <v>1912.3500000000004</v>
      </c>
      <c r="L228" s="3">
        <f>(K228/I228)</f>
        <v>0.24812030075187974</v>
      </c>
      <c r="M228" s="2">
        <v>41548</v>
      </c>
      <c r="N228">
        <v>10</v>
      </c>
      <c r="O228" t="s">
        <v>24</v>
      </c>
      <c r="P228">
        <v>2013</v>
      </c>
    </row>
    <row r="229" spans="1:16" x14ac:dyDescent="0.25">
      <c r="A229" t="s">
        <v>4</v>
      </c>
      <c r="B229" t="s">
        <v>16</v>
      </c>
      <c r="C229" t="s">
        <v>28</v>
      </c>
      <c r="D229" t="s">
        <v>29</v>
      </c>
      <c r="E229">
        <v>3</v>
      </c>
      <c r="F229">
        <v>12</v>
      </c>
      <c r="G229">
        <v>22380</v>
      </c>
      <c r="H229">
        <v>1119</v>
      </c>
      <c r="I229" s="1">
        <v>21261</v>
      </c>
      <c r="J229">
        <v>5595</v>
      </c>
      <c r="K229" s="1">
        <v>15666</v>
      </c>
      <c r="L229" s="3">
        <f>(K229/I229)</f>
        <v>0.73684210526315785</v>
      </c>
      <c r="M229" s="2">
        <v>41671</v>
      </c>
      <c r="N229">
        <v>2</v>
      </c>
      <c r="O229" t="s">
        <v>22</v>
      </c>
      <c r="P229">
        <v>2014</v>
      </c>
    </row>
    <row r="230" spans="1:16" x14ac:dyDescent="0.25">
      <c r="A230" t="s">
        <v>4</v>
      </c>
      <c r="B230" t="s">
        <v>19</v>
      </c>
      <c r="C230" t="s">
        <v>28</v>
      </c>
      <c r="D230" t="s">
        <v>29</v>
      </c>
      <c r="E230">
        <v>3</v>
      </c>
      <c r="F230">
        <v>12</v>
      </c>
      <c r="G230">
        <v>13392</v>
      </c>
      <c r="H230">
        <v>669.6</v>
      </c>
      <c r="I230" s="1">
        <v>12722.4</v>
      </c>
      <c r="J230">
        <v>3348</v>
      </c>
      <c r="K230" s="1">
        <v>9374.4</v>
      </c>
      <c r="L230" s="3">
        <f>(K230/I230)</f>
        <v>0.73684210526315785</v>
      </c>
      <c r="M230" s="2">
        <v>41671</v>
      </c>
      <c r="N230">
        <v>2</v>
      </c>
      <c r="O230" t="s">
        <v>21</v>
      </c>
      <c r="P230">
        <v>2014</v>
      </c>
    </row>
    <row r="231" spans="1:16" x14ac:dyDescent="0.25">
      <c r="A231" t="s">
        <v>8</v>
      </c>
      <c r="B231" t="s">
        <v>16</v>
      </c>
      <c r="C231" t="s">
        <v>28</v>
      </c>
      <c r="D231" t="s">
        <v>29</v>
      </c>
      <c r="E231">
        <v>3</v>
      </c>
      <c r="F231">
        <v>20</v>
      </c>
      <c r="G231">
        <v>31260</v>
      </c>
      <c r="H231">
        <v>1563</v>
      </c>
      <c r="I231" s="1">
        <v>29697</v>
      </c>
      <c r="J231">
        <v>15630</v>
      </c>
      <c r="K231" s="1">
        <v>14067</v>
      </c>
      <c r="L231" s="3">
        <f>(K231/I231)</f>
        <v>0.47368421052631576</v>
      </c>
      <c r="M231" s="2">
        <v>41760</v>
      </c>
      <c r="N231">
        <v>5</v>
      </c>
      <c r="O231" t="s">
        <v>18</v>
      </c>
      <c r="P231">
        <v>2014</v>
      </c>
    </row>
    <row r="232" spans="1:16" x14ac:dyDescent="0.25">
      <c r="A232" t="s">
        <v>14</v>
      </c>
      <c r="B232" t="s">
        <v>3</v>
      </c>
      <c r="C232" t="s">
        <v>28</v>
      </c>
      <c r="D232" t="s">
        <v>29</v>
      </c>
      <c r="E232">
        <v>3</v>
      </c>
      <c r="F232">
        <v>300</v>
      </c>
      <c r="G232">
        <v>297300</v>
      </c>
      <c r="H232">
        <v>14865</v>
      </c>
      <c r="I232" s="1">
        <v>282435</v>
      </c>
      <c r="J232">
        <v>247750</v>
      </c>
      <c r="K232" s="1">
        <v>34685</v>
      </c>
      <c r="L232" s="3">
        <f>(K232/I232)</f>
        <v>0.12280701754385964</v>
      </c>
      <c r="M232" s="2">
        <v>41791</v>
      </c>
      <c r="N232">
        <v>6</v>
      </c>
      <c r="O232" t="s">
        <v>17</v>
      </c>
      <c r="P232">
        <v>2014</v>
      </c>
    </row>
    <row r="233" spans="1:16" x14ac:dyDescent="0.25">
      <c r="A233" t="s">
        <v>8</v>
      </c>
      <c r="B233" t="s">
        <v>19</v>
      </c>
      <c r="C233" t="s">
        <v>28</v>
      </c>
      <c r="D233" t="s">
        <v>29</v>
      </c>
      <c r="E233">
        <v>3</v>
      </c>
      <c r="F233">
        <v>7</v>
      </c>
      <c r="G233">
        <v>7112</v>
      </c>
      <c r="H233">
        <v>355.6</v>
      </c>
      <c r="I233" s="1">
        <v>6756.4</v>
      </c>
      <c r="J233">
        <v>5080</v>
      </c>
      <c r="K233" s="1">
        <v>1676.3999999999996</v>
      </c>
      <c r="L233" s="3">
        <f>(K233/I233)</f>
        <v>0.24812030075187966</v>
      </c>
      <c r="M233" s="2">
        <v>41579</v>
      </c>
      <c r="N233">
        <v>11</v>
      </c>
      <c r="O233" t="s">
        <v>15</v>
      </c>
      <c r="P233">
        <v>2013</v>
      </c>
    </row>
    <row r="234" spans="1:16" x14ac:dyDescent="0.25">
      <c r="A234" t="s">
        <v>23</v>
      </c>
      <c r="B234" t="s">
        <v>11</v>
      </c>
      <c r="C234" t="s">
        <v>28</v>
      </c>
      <c r="D234" t="s">
        <v>29</v>
      </c>
      <c r="E234">
        <v>3</v>
      </c>
      <c r="F234">
        <v>15</v>
      </c>
      <c r="G234">
        <v>41865</v>
      </c>
      <c r="H234">
        <v>2093.25</v>
      </c>
      <c r="I234" s="1">
        <v>39771.75</v>
      </c>
      <c r="J234">
        <v>27910</v>
      </c>
      <c r="K234" s="1">
        <v>11861.75</v>
      </c>
      <c r="L234" s="3">
        <f>(K234/I234)</f>
        <v>0.2982456140350877</v>
      </c>
      <c r="M234" s="2">
        <v>41944</v>
      </c>
      <c r="N234">
        <v>11</v>
      </c>
      <c r="O234" t="s">
        <v>12</v>
      </c>
      <c r="P234">
        <v>2014</v>
      </c>
    </row>
    <row r="235" spans="1:16" x14ac:dyDescent="0.25">
      <c r="A235" t="s">
        <v>8</v>
      </c>
      <c r="B235" t="s">
        <v>3</v>
      </c>
      <c r="C235" t="s">
        <v>28</v>
      </c>
      <c r="D235" t="s">
        <v>29</v>
      </c>
      <c r="E235">
        <v>3</v>
      </c>
      <c r="F235">
        <v>7</v>
      </c>
      <c r="G235">
        <v>3990</v>
      </c>
      <c r="H235">
        <v>199.5</v>
      </c>
      <c r="I235" s="1">
        <v>3790.5</v>
      </c>
      <c r="J235">
        <v>2850</v>
      </c>
      <c r="K235" s="1">
        <v>940.5</v>
      </c>
      <c r="L235" s="3">
        <f>(K235/I235)</f>
        <v>0.24812030075187969</v>
      </c>
      <c r="M235" s="2">
        <v>41974</v>
      </c>
      <c r="N235">
        <v>12</v>
      </c>
      <c r="O235" t="s">
        <v>9</v>
      </c>
      <c r="P235">
        <v>2014</v>
      </c>
    </row>
    <row r="236" spans="1:16" x14ac:dyDescent="0.25">
      <c r="A236" t="s">
        <v>8</v>
      </c>
      <c r="B236" t="s">
        <v>16</v>
      </c>
      <c r="C236" t="s">
        <v>28</v>
      </c>
      <c r="D236" t="s">
        <v>29</v>
      </c>
      <c r="E236">
        <v>3</v>
      </c>
      <c r="F236">
        <v>7</v>
      </c>
      <c r="G236">
        <v>17409</v>
      </c>
      <c r="H236">
        <v>870.45</v>
      </c>
      <c r="I236" s="1">
        <v>16538.55</v>
      </c>
      <c r="J236">
        <v>12435</v>
      </c>
      <c r="K236" s="1">
        <v>4103.5499999999993</v>
      </c>
      <c r="L236" s="3">
        <f>(K236/I236)</f>
        <v>0.24812030075187966</v>
      </c>
      <c r="M236" s="2">
        <v>41974</v>
      </c>
      <c r="N236">
        <v>12</v>
      </c>
      <c r="O236" t="s">
        <v>5</v>
      </c>
      <c r="P236">
        <v>2014</v>
      </c>
    </row>
    <row r="237" spans="1:16" x14ac:dyDescent="0.25">
      <c r="A237" t="s">
        <v>8</v>
      </c>
      <c r="B237" t="s">
        <v>16</v>
      </c>
      <c r="C237" t="s">
        <v>10</v>
      </c>
      <c r="D237" t="s">
        <v>29</v>
      </c>
      <c r="E237">
        <v>5</v>
      </c>
      <c r="F237">
        <v>350</v>
      </c>
      <c r="G237">
        <v>484575</v>
      </c>
      <c r="H237">
        <v>24228.75</v>
      </c>
      <c r="I237" s="1">
        <v>460346.25</v>
      </c>
      <c r="J237">
        <v>359970</v>
      </c>
      <c r="K237" s="1">
        <v>100376.25</v>
      </c>
      <c r="L237" s="3">
        <f>(K237/I237)</f>
        <v>0.21804511278195488</v>
      </c>
      <c r="M237" s="2">
        <v>41640</v>
      </c>
      <c r="N237">
        <v>1</v>
      </c>
      <c r="O237" t="s">
        <v>0</v>
      </c>
      <c r="P237">
        <v>2014</v>
      </c>
    </row>
    <row r="238" spans="1:16" x14ac:dyDescent="0.25">
      <c r="A238" t="s">
        <v>20</v>
      </c>
      <c r="B238" t="s">
        <v>3</v>
      </c>
      <c r="C238" t="s">
        <v>10</v>
      </c>
      <c r="D238" t="s">
        <v>29</v>
      </c>
      <c r="E238">
        <v>5</v>
      </c>
      <c r="F238">
        <v>125</v>
      </c>
      <c r="G238">
        <v>453375</v>
      </c>
      <c r="H238">
        <v>22668.75</v>
      </c>
      <c r="I238" s="1">
        <v>430706.25</v>
      </c>
      <c r="J238">
        <v>435240</v>
      </c>
      <c r="K238" s="1">
        <v>-4533.75</v>
      </c>
      <c r="L238" s="3">
        <f>(K238/I238)</f>
        <v>-1.0526315789473684E-2</v>
      </c>
      <c r="M238" s="2">
        <v>41821</v>
      </c>
      <c r="N238">
        <v>7</v>
      </c>
      <c r="O238" t="s">
        <v>26</v>
      </c>
      <c r="P238">
        <v>2014</v>
      </c>
    </row>
    <row r="239" spans="1:16" x14ac:dyDescent="0.25">
      <c r="A239" t="s">
        <v>8</v>
      </c>
      <c r="B239" t="s">
        <v>11</v>
      </c>
      <c r="C239" t="s">
        <v>10</v>
      </c>
      <c r="D239" t="s">
        <v>29</v>
      </c>
      <c r="E239">
        <v>5</v>
      </c>
      <c r="F239">
        <v>350</v>
      </c>
      <c r="G239">
        <v>252000</v>
      </c>
      <c r="H239">
        <v>12600</v>
      </c>
      <c r="I239" s="1">
        <v>239400</v>
      </c>
      <c r="J239">
        <v>187200</v>
      </c>
      <c r="K239" s="1">
        <v>52200</v>
      </c>
      <c r="L239" s="3">
        <f>(K239/I239)</f>
        <v>0.21804511278195488</v>
      </c>
      <c r="M239" s="2">
        <v>41518</v>
      </c>
      <c r="N239">
        <v>9</v>
      </c>
      <c r="O239" t="s">
        <v>25</v>
      </c>
      <c r="P239">
        <v>2013</v>
      </c>
    </row>
    <row r="240" spans="1:16" x14ac:dyDescent="0.25">
      <c r="A240" t="s">
        <v>4</v>
      </c>
      <c r="B240" t="s">
        <v>19</v>
      </c>
      <c r="C240" t="s">
        <v>10</v>
      </c>
      <c r="D240" t="s">
        <v>29</v>
      </c>
      <c r="E240">
        <v>5</v>
      </c>
      <c r="F240">
        <v>12</v>
      </c>
      <c r="G240">
        <v>28104</v>
      </c>
      <c r="H240">
        <v>1405.2</v>
      </c>
      <c r="I240" s="1">
        <v>26698.799999999999</v>
      </c>
      <c r="J240">
        <v>7026</v>
      </c>
      <c r="K240" s="1">
        <v>19672.8</v>
      </c>
      <c r="L240" s="3">
        <f>(K240/I240)</f>
        <v>0.73684210526315785</v>
      </c>
      <c r="M240" s="2">
        <v>41944</v>
      </c>
      <c r="N240">
        <v>11</v>
      </c>
      <c r="O240" t="s">
        <v>24</v>
      </c>
      <c r="P240">
        <v>2014</v>
      </c>
    </row>
    <row r="241" spans="1:16" x14ac:dyDescent="0.25">
      <c r="A241" t="s">
        <v>14</v>
      </c>
      <c r="B241" t="s">
        <v>11</v>
      </c>
      <c r="C241" t="s">
        <v>10</v>
      </c>
      <c r="D241" t="s">
        <v>29</v>
      </c>
      <c r="E241">
        <v>5</v>
      </c>
      <c r="F241">
        <v>300</v>
      </c>
      <c r="G241">
        <v>330000</v>
      </c>
      <c r="H241">
        <v>16500</v>
      </c>
      <c r="I241" s="1">
        <v>313500</v>
      </c>
      <c r="J241">
        <v>275000</v>
      </c>
      <c r="K241" s="1">
        <v>38500</v>
      </c>
      <c r="L241" s="3">
        <f>(K241/I241)</f>
        <v>0.12280701754385964</v>
      </c>
      <c r="M241" s="2">
        <v>41609</v>
      </c>
      <c r="N241">
        <v>12</v>
      </c>
      <c r="O241" t="s">
        <v>22</v>
      </c>
      <c r="P241">
        <v>2013</v>
      </c>
    </row>
    <row r="242" spans="1:16" x14ac:dyDescent="0.25">
      <c r="A242" t="s">
        <v>8</v>
      </c>
      <c r="B242" t="s">
        <v>16</v>
      </c>
      <c r="C242" t="s">
        <v>6</v>
      </c>
      <c r="D242" t="s">
        <v>29</v>
      </c>
      <c r="E242">
        <v>10</v>
      </c>
      <c r="F242">
        <v>20</v>
      </c>
      <c r="G242">
        <v>26060</v>
      </c>
      <c r="H242">
        <v>1303</v>
      </c>
      <c r="I242" s="1">
        <v>24757</v>
      </c>
      <c r="J242">
        <v>13030</v>
      </c>
      <c r="K242" s="1">
        <v>11727</v>
      </c>
      <c r="L242" s="3">
        <f>(K242/I242)</f>
        <v>0.47368421052631576</v>
      </c>
      <c r="M242" s="2">
        <v>41671</v>
      </c>
      <c r="N242">
        <v>2</v>
      </c>
      <c r="O242" t="s">
        <v>21</v>
      </c>
      <c r="P242">
        <v>2014</v>
      </c>
    </row>
    <row r="243" spans="1:16" x14ac:dyDescent="0.25">
      <c r="A243" t="s">
        <v>20</v>
      </c>
      <c r="B243" t="s">
        <v>3</v>
      </c>
      <c r="C243" t="s">
        <v>6</v>
      </c>
      <c r="D243" t="s">
        <v>29</v>
      </c>
      <c r="E243">
        <v>10</v>
      </c>
      <c r="F243">
        <v>125</v>
      </c>
      <c r="G243">
        <v>374000</v>
      </c>
      <c r="H243">
        <v>18700</v>
      </c>
      <c r="I243" s="1">
        <v>355300</v>
      </c>
      <c r="J243">
        <v>359040</v>
      </c>
      <c r="K243" s="1">
        <v>-3740</v>
      </c>
      <c r="L243" s="3">
        <f>(K243/I243)</f>
        <v>-1.0526315789473684E-2</v>
      </c>
      <c r="M243" s="2">
        <v>41699</v>
      </c>
      <c r="N243">
        <v>3</v>
      </c>
      <c r="O243" t="s">
        <v>18</v>
      </c>
      <c r="P243">
        <v>2014</v>
      </c>
    </row>
    <row r="244" spans="1:16" x14ac:dyDescent="0.25">
      <c r="A244" t="s">
        <v>20</v>
      </c>
      <c r="B244" t="s">
        <v>16</v>
      </c>
      <c r="C244" t="s">
        <v>6</v>
      </c>
      <c r="D244" t="s">
        <v>29</v>
      </c>
      <c r="E244">
        <v>10</v>
      </c>
      <c r="F244">
        <v>125</v>
      </c>
      <c r="G244">
        <v>298125</v>
      </c>
      <c r="H244">
        <v>14906.25</v>
      </c>
      <c r="I244" s="1">
        <v>283218.75</v>
      </c>
      <c r="J244">
        <v>286200</v>
      </c>
      <c r="K244" s="1">
        <v>-2981.25</v>
      </c>
      <c r="L244" s="3">
        <f>(K244/I244)</f>
        <v>-1.0526315789473684E-2</v>
      </c>
      <c r="M244" s="2">
        <v>41699</v>
      </c>
      <c r="N244">
        <v>3</v>
      </c>
      <c r="O244" t="s">
        <v>17</v>
      </c>
      <c r="P244">
        <v>2014</v>
      </c>
    </row>
    <row r="245" spans="1:16" x14ac:dyDescent="0.25">
      <c r="A245" t="s">
        <v>14</v>
      </c>
      <c r="B245" t="s">
        <v>11</v>
      </c>
      <c r="C245" t="s">
        <v>6</v>
      </c>
      <c r="D245" t="s">
        <v>29</v>
      </c>
      <c r="E245">
        <v>10</v>
      </c>
      <c r="F245">
        <v>300</v>
      </c>
      <c r="G245">
        <v>482100</v>
      </c>
      <c r="H245">
        <v>24105</v>
      </c>
      <c r="I245" s="1">
        <v>457995</v>
      </c>
      <c r="J245">
        <v>401750</v>
      </c>
      <c r="K245" s="1">
        <v>56245</v>
      </c>
      <c r="L245" s="3">
        <f>(K245/I245)</f>
        <v>0.12280701754385964</v>
      </c>
      <c r="M245" s="2">
        <v>41730</v>
      </c>
      <c r="N245">
        <v>4</v>
      </c>
      <c r="O245" t="s">
        <v>15</v>
      </c>
      <c r="P245">
        <v>2014</v>
      </c>
    </row>
    <row r="246" spans="1:16" x14ac:dyDescent="0.25">
      <c r="A246" t="s">
        <v>8</v>
      </c>
      <c r="B246" t="s">
        <v>3</v>
      </c>
      <c r="C246" t="s">
        <v>6</v>
      </c>
      <c r="D246" t="s">
        <v>29</v>
      </c>
      <c r="E246">
        <v>10</v>
      </c>
      <c r="F246">
        <v>7</v>
      </c>
      <c r="G246">
        <v>16289</v>
      </c>
      <c r="H246">
        <v>814.45</v>
      </c>
      <c r="I246" s="1">
        <v>15474.55</v>
      </c>
      <c r="J246">
        <v>11635</v>
      </c>
      <c r="K246" s="1">
        <v>3839.5499999999993</v>
      </c>
      <c r="L246" s="3">
        <f>(K246/I246)</f>
        <v>0.24812030075187966</v>
      </c>
      <c r="M246" s="2">
        <v>41760</v>
      </c>
      <c r="N246">
        <v>5</v>
      </c>
      <c r="O246" t="s">
        <v>12</v>
      </c>
      <c r="P246">
        <v>2014</v>
      </c>
    </row>
    <row r="247" spans="1:16" x14ac:dyDescent="0.25">
      <c r="A247" t="s">
        <v>14</v>
      </c>
      <c r="B247" t="s">
        <v>3</v>
      </c>
      <c r="C247" t="s">
        <v>6</v>
      </c>
      <c r="D247" t="s">
        <v>29</v>
      </c>
      <c r="E247">
        <v>10</v>
      </c>
      <c r="F247">
        <v>300</v>
      </c>
      <c r="G247">
        <v>297300</v>
      </c>
      <c r="H247">
        <v>14865</v>
      </c>
      <c r="I247" s="1">
        <v>282435</v>
      </c>
      <c r="J247">
        <v>247750</v>
      </c>
      <c r="K247" s="1">
        <v>34685</v>
      </c>
      <c r="L247" s="3">
        <f>(K247/I247)</f>
        <v>0.12280701754385964</v>
      </c>
      <c r="M247" s="2">
        <v>41791</v>
      </c>
      <c r="N247">
        <v>6</v>
      </c>
      <c r="O247" t="s">
        <v>9</v>
      </c>
      <c r="P247">
        <v>2014</v>
      </c>
    </row>
    <row r="248" spans="1:16" x14ac:dyDescent="0.25">
      <c r="A248" t="s">
        <v>8</v>
      </c>
      <c r="B248" t="s">
        <v>3</v>
      </c>
      <c r="C248" t="s">
        <v>6</v>
      </c>
      <c r="D248" t="s">
        <v>29</v>
      </c>
      <c r="E248">
        <v>10</v>
      </c>
      <c r="F248">
        <v>350</v>
      </c>
      <c r="G248">
        <v>210700</v>
      </c>
      <c r="H248">
        <v>10535</v>
      </c>
      <c r="I248" s="1">
        <v>200165</v>
      </c>
      <c r="J248">
        <v>156520</v>
      </c>
      <c r="K248" s="1">
        <v>43645</v>
      </c>
      <c r="L248" s="3">
        <f>(K248/I248)</f>
        <v>0.21804511278195488</v>
      </c>
      <c r="M248" s="2">
        <v>41791</v>
      </c>
      <c r="N248">
        <v>6</v>
      </c>
      <c r="O248" t="s">
        <v>5</v>
      </c>
      <c r="P248">
        <v>2014</v>
      </c>
    </row>
    <row r="249" spans="1:16" x14ac:dyDescent="0.25">
      <c r="A249" t="s">
        <v>23</v>
      </c>
      <c r="B249" t="s">
        <v>16</v>
      </c>
      <c r="C249" t="s">
        <v>6</v>
      </c>
      <c r="D249" t="s">
        <v>29</v>
      </c>
      <c r="E249">
        <v>10</v>
      </c>
      <c r="F249">
        <v>15</v>
      </c>
      <c r="G249">
        <v>39300</v>
      </c>
      <c r="H249">
        <v>1965</v>
      </c>
      <c r="I249" s="1">
        <v>37335</v>
      </c>
      <c r="J249">
        <v>26200</v>
      </c>
      <c r="K249" s="1">
        <v>11135</v>
      </c>
      <c r="L249" s="3">
        <f>(K249/I249)</f>
        <v>0.2982456140350877</v>
      </c>
      <c r="M249" s="2">
        <v>41883</v>
      </c>
      <c r="N249">
        <v>9</v>
      </c>
      <c r="O249" t="s">
        <v>0</v>
      </c>
      <c r="P249">
        <v>2014</v>
      </c>
    </row>
    <row r="250" spans="1:16" x14ac:dyDescent="0.25">
      <c r="A250" t="s">
        <v>8</v>
      </c>
      <c r="B250" t="s">
        <v>7</v>
      </c>
      <c r="C250" t="s">
        <v>6</v>
      </c>
      <c r="D250" t="s">
        <v>29</v>
      </c>
      <c r="E250">
        <v>10</v>
      </c>
      <c r="F250">
        <v>350</v>
      </c>
      <c r="G250">
        <v>429800</v>
      </c>
      <c r="H250">
        <v>21490</v>
      </c>
      <c r="I250" s="1">
        <v>408310</v>
      </c>
      <c r="J250">
        <v>319280</v>
      </c>
      <c r="K250" s="1">
        <v>89030</v>
      </c>
      <c r="L250" s="3">
        <f>(K250/I250)</f>
        <v>0.21804511278195488</v>
      </c>
      <c r="M250" s="2">
        <v>41548</v>
      </c>
      <c r="N250">
        <v>10</v>
      </c>
      <c r="O250" t="s">
        <v>26</v>
      </c>
      <c r="P250">
        <v>2013</v>
      </c>
    </row>
    <row r="251" spans="1:16" x14ac:dyDescent="0.25">
      <c r="A251" t="s">
        <v>8</v>
      </c>
      <c r="B251" t="s">
        <v>7</v>
      </c>
      <c r="C251" t="s">
        <v>6</v>
      </c>
      <c r="D251" t="s">
        <v>29</v>
      </c>
      <c r="E251">
        <v>10</v>
      </c>
      <c r="F251">
        <v>20</v>
      </c>
      <c r="G251">
        <v>27780</v>
      </c>
      <c r="H251">
        <v>1389</v>
      </c>
      <c r="I251" s="1">
        <v>26391</v>
      </c>
      <c r="J251">
        <v>13890</v>
      </c>
      <c r="K251" s="1">
        <v>12501</v>
      </c>
      <c r="L251" s="3">
        <f>(K251/I251)</f>
        <v>0.47368421052631576</v>
      </c>
      <c r="M251" s="2">
        <v>41548</v>
      </c>
      <c r="N251">
        <v>10</v>
      </c>
      <c r="O251" t="s">
        <v>25</v>
      </c>
      <c r="P251">
        <v>2013</v>
      </c>
    </row>
    <row r="252" spans="1:16" x14ac:dyDescent="0.25">
      <c r="A252" t="s">
        <v>20</v>
      </c>
      <c r="B252" t="s">
        <v>3</v>
      </c>
      <c r="C252" t="s">
        <v>6</v>
      </c>
      <c r="D252" t="s">
        <v>29</v>
      </c>
      <c r="E252">
        <v>10</v>
      </c>
      <c r="F252">
        <v>125</v>
      </c>
      <c r="G252">
        <v>107625</v>
      </c>
      <c r="H252">
        <v>5381.25</v>
      </c>
      <c r="I252" s="1">
        <v>102243.75</v>
      </c>
      <c r="J252">
        <v>103320</v>
      </c>
      <c r="K252" s="1">
        <v>-1076.25</v>
      </c>
      <c r="L252" s="3">
        <f>(K252/I252)</f>
        <v>-1.0526315789473684E-2</v>
      </c>
      <c r="M252" s="2">
        <v>41913</v>
      </c>
      <c r="N252">
        <v>10</v>
      </c>
      <c r="O252" t="s">
        <v>24</v>
      </c>
      <c r="P252">
        <v>2014</v>
      </c>
    </row>
    <row r="253" spans="1:16" x14ac:dyDescent="0.25">
      <c r="A253" t="s">
        <v>20</v>
      </c>
      <c r="B253" t="s">
        <v>16</v>
      </c>
      <c r="C253" t="s">
        <v>6</v>
      </c>
      <c r="D253" t="s">
        <v>29</v>
      </c>
      <c r="E253">
        <v>10</v>
      </c>
      <c r="F253">
        <v>125</v>
      </c>
      <c r="G253">
        <v>88000</v>
      </c>
      <c r="H253">
        <v>4400</v>
      </c>
      <c r="I253" s="1">
        <v>83600</v>
      </c>
      <c r="J253">
        <v>84480</v>
      </c>
      <c r="K253" s="1">
        <v>-880</v>
      </c>
      <c r="L253" s="3">
        <f>(K253/I253)</f>
        <v>-1.0526315789473684E-2</v>
      </c>
      <c r="M253" s="2">
        <v>41548</v>
      </c>
      <c r="N253">
        <v>10</v>
      </c>
      <c r="O253" t="s">
        <v>22</v>
      </c>
      <c r="P253">
        <v>2013</v>
      </c>
    </row>
    <row r="254" spans="1:16" x14ac:dyDescent="0.25">
      <c r="A254" t="s">
        <v>8</v>
      </c>
      <c r="B254" t="s">
        <v>7</v>
      </c>
      <c r="C254" t="s">
        <v>6</v>
      </c>
      <c r="D254" t="s">
        <v>29</v>
      </c>
      <c r="E254">
        <v>10</v>
      </c>
      <c r="F254">
        <v>20</v>
      </c>
      <c r="G254">
        <v>36040</v>
      </c>
      <c r="H254">
        <v>1802</v>
      </c>
      <c r="I254" s="1">
        <v>34238</v>
      </c>
      <c r="J254">
        <v>18020</v>
      </c>
      <c r="K254" s="1">
        <v>16218</v>
      </c>
      <c r="L254" s="3">
        <f>(K254/I254)</f>
        <v>0.47368421052631576</v>
      </c>
      <c r="M254" s="2">
        <v>41609</v>
      </c>
      <c r="N254">
        <v>12</v>
      </c>
      <c r="O254" t="s">
        <v>21</v>
      </c>
      <c r="P254">
        <v>2013</v>
      </c>
    </row>
    <row r="255" spans="1:16" x14ac:dyDescent="0.25">
      <c r="A255" t="s">
        <v>8</v>
      </c>
      <c r="B255" t="s">
        <v>3</v>
      </c>
      <c r="C255" t="s">
        <v>6</v>
      </c>
      <c r="D255" t="s">
        <v>29</v>
      </c>
      <c r="E255">
        <v>10</v>
      </c>
      <c r="F255">
        <v>20</v>
      </c>
      <c r="G255">
        <v>53260</v>
      </c>
      <c r="H255">
        <v>2663</v>
      </c>
      <c r="I255" s="1">
        <v>50597</v>
      </c>
      <c r="J255">
        <v>26630</v>
      </c>
      <c r="K255" s="1">
        <v>23967</v>
      </c>
      <c r="L255" s="3">
        <f>(K255/I255)</f>
        <v>0.47368421052631576</v>
      </c>
      <c r="M255" s="2">
        <v>41974</v>
      </c>
      <c r="N255">
        <v>12</v>
      </c>
      <c r="O255" t="s">
        <v>18</v>
      </c>
      <c r="P255">
        <v>2014</v>
      </c>
    </row>
    <row r="256" spans="1:16" x14ac:dyDescent="0.25">
      <c r="A256" t="s">
        <v>8</v>
      </c>
      <c r="B256" t="s">
        <v>16</v>
      </c>
      <c r="C256" t="s">
        <v>6</v>
      </c>
      <c r="D256" t="s">
        <v>29</v>
      </c>
      <c r="E256">
        <v>10</v>
      </c>
      <c r="F256">
        <v>7</v>
      </c>
      <c r="G256">
        <v>14952</v>
      </c>
      <c r="H256">
        <v>747.6</v>
      </c>
      <c r="I256" s="1">
        <v>14204.4</v>
      </c>
      <c r="J256">
        <v>10680</v>
      </c>
      <c r="K256" s="1">
        <v>3524.3999999999996</v>
      </c>
      <c r="L256" s="3">
        <f>(K256/I256)</f>
        <v>0.24812030075187969</v>
      </c>
      <c r="M256" s="2">
        <v>41609</v>
      </c>
      <c r="N256">
        <v>12</v>
      </c>
      <c r="O256" t="s">
        <v>17</v>
      </c>
      <c r="P256">
        <v>2013</v>
      </c>
    </row>
    <row r="257" spans="1:16" x14ac:dyDescent="0.25">
      <c r="A257" t="s">
        <v>23</v>
      </c>
      <c r="B257" t="s">
        <v>19</v>
      </c>
      <c r="C257" t="s">
        <v>6</v>
      </c>
      <c r="D257" t="s">
        <v>29</v>
      </c>
      <c r="E257">
        <v>10</v>
      </c>
      <c r="F257">
        <v>15</v>
      </c>
      <c r="G257">
        <v>31740</v>
      </c>
      <c r="H257">
        <v>1587</v>
      </c>
      <c r="I257" s="1">
        <v>30153</v>
      </c>
      <c r="J257">
        <v>21160</v>
      </c>
      <c r="K257" s="1">
        <v>8993</v>
      </c>
      <c r="L257" s="3">
        <f>(K257/I257)</f>
        <v>0.2982456140350877</v>
      </c>
      <c r="M257" s="2">
        <v>41609</v>
      </c>
      <c r="N257">
        <v>12</v>
      </c>
      <c r="O257" t="s">
        <v>15</v>
      </c>
      <c r="P257">
        <v>2013</v>
      </c>
    </row>
    <row r="258" spans="1:16" x14ac:dyDescent="0.25">
      <c r="A258" t="s">
        <v>23</v>
      </c>
      <c r="B258" t="s">
        <v>3</v>
      </c>
      <c r="C258" t="s">
        <v>27</v>
      </c>
      <c r="D258" t="s">
        <v>29</v>
      </c>
      <c r="E258">
        <v>120</v>
      </c>
      <c r="F258">
        <v>15</v>
      </c>
      <c r="G258">
        <v>8325</v>
      </c>
      <c r="H258">
        <v>416.25</v>
      </c>
      <c r="I258" s="1">
        <v>7908.75</v>
      </c>
      <c r="J258">
        <v>5550</v>
      </c>
      <c r="K258" s="1">
        <v>2358.75</v>
      </c>
      <c r="L258" s="3">
        <f>(K258/I258)</f>
        <v>0.2982456140350877</v>
      </c>
      <c r="M258" s="2">
        <v>41640</v>
      </c>
      <c r="N258">
        <v>1</v>
      </c>
      <c r="O258" t="s">
        <v>12</v>
      </c>
      <c r="P258">
        <v>2014</v>
      </c>
    </row>
    <row r="259" spans="1:16" x14ac:dyDescent="0.25">
      <c r="A259" t="s">
        <v>23</v>
      </c>
      <c r="B259" t="s">
        <v>11</v>
      </c>
      <c r="C259" t="s">
        <v>27</v>
      </c>
      <c r="D259" t="s">
        <v>29</v>
      </c>
      <c r="E259">
        <v>120</v>
      </c>
      <c r="F259">
        <v>15</v>
      </c>
      <c r="G259">
        <v>42915</v>
      </c>
      <c r="H259">
        <v>2145.75</v>
      </c>
      <c r="I259" s="1">
        <v>40769.25</v>
      </c>
      <c r="J259">
        <v>28610</v>
      </c>
      <c r="K259" s="1">
        <v>12159.25</v>
      </c>
      <c r="L259" s="3">
        <f>(K259/I259)</f>
        <v>0.2982456140350877</v>
      </c>
      <c r="M259" s="2">
        <v>41640</v>
      </c>
      <c r="N259">
        <v>1</v>
      </c>
      <c r="O259" t="s">
        <v>9</v>
      </c>
      <c r="P259">
        <v>2014</v>
      </c>
    </row>
    <row r="260" spans="1:16" x14ac:dyDescent="0.25">
      <c r="A260" t="s">
        <v>20</v>
      </c>
      <c r="B260" t="s">
        <v>19</v>
      </c>
      <c r="C260" t="s">
        <v>27</v>
      </c>
      <c r="D260" t="s">
        <v>29</v>
      </c>
      <c r="E260">
        <v>120</v>
      </c>
      <c r="F260">
        <v>125</v>
      </c>
      <c r="G260">
        <v>100875</v>
      </c>
      <c r="H260">
        <v>5043.75</v>
      </c>
      <c r="I260" s="1">
        <v>95831.25</v>
      </c>
      <c r="J260">
        <v>96840</v>
      </c>
      <c r="K260" s="1">
        <v>-1008.75</v>
      </c>
      <c r="L260" s="3">
        <f>(K260/I260)</f>
        <v>-1.0526315789473684E-2</v>
      </c>
      <c r="M260" s="2">
        <v>41671</v>
      </c>
      <c r="N260">
        <v>2</v>
      </c>
      <c r="O260" t="s">
        <v>5</v>
      </c>
      <c r="P260">
        <v>2014</v>
      </c>
    </row>
    <row r="261" spans="1:16" x14ac:dyDescent="0.25">
      <c r="A261" t="s">
        <v>8</v>
      </c>
      <c r="B261" t="s">
        <v>3</v>
      </c>
      <c r="C261" t="s">
        <v>27</v>
      </c>
      <c r="D261" t="s">
        <v>29</v>
      </c>
      <c r="E261">
        <v>120</v>
      </c>
      <c r="F261">
        <v>350</v>
      </c>
      <c r="G261">
        <v>210700</v>
      </c>
      <c r="H261">
        <v>10535</v>
      </c>
      <c r="I261" s="1">
        <v>200165</v>
      </c>
      <c r="J261">
        <v>156520</v>
      </c>
      <c r="K261" s="1">
        <v>43645</v>
      </c>
      <c r="L261" s="3">
        <f>(K261/I261)</f>
        <v>0.21804511278195488</v>
      </c>
      <c r="M261" s="2">
        <v>41791</v>
      </c>
      <c r="N261">
        <v>6</v>
      </c>
      <c r="O261" t="s">
        <v>0</v>
      </c>
      <c r="P261">
        <v>2014</v>
      </c>
    </row>
    <row r="262" spans="1:16" x14ac:dyDescent="0.25">
      <c r="A262" t="s">
        <v>8</v>
      </c>
      <c r="B262" t="s">
        <v>3</v>
      </c>
      <c r="C262" t="s">
        <v>27</v>
      </c>
      <c r="D262" t="s">
        <v>29</v>
      </c>
      <c r="E262">
        <v>120</v>
      </c>
      <c r="F262">
        <v>20</v>
      </c>
      <c r="G262">
        <v>56640</v>
      </c>
      <c r="H262">
        <v>2832</v>
      </c>
      <c r="I262" s="1">
        <v>53808</v>
      </c>
      <c r="J262">
        <v>28320</v>
      </c>
      <c r="K262" s="1">
        <v>25488</v>
      </c>
      <c r="L262" s="3">
        <f>(K262/I262)</f>
        <v>0.47368421052631576</v>
      </c>
      <c r="M262" s="2">
        <v>41852</v>
      </c>
      <c r="N262">
        <v>8</v>
      </c>
      <c r="O262" t="s">
        <v>26</v>
      </c>
      <c r="P262">
        <v>2014</v>
      </c>
    </row>
    <row r="263" spans="1:16" x14ac:dyDescent="0.25">
      <c r="A263" t="s">
        <v>8</v>
      </c>
      <c r="B263" t="s">
        <v>16</v>
      </c>
      <c r="C263" t="s">
        <v>27</v>
      </c>
      <c r="D263" t="s">
        <v>29</v>
      </c>
      <c r="E263">
        <v>120</v>
      </c>
      <c r="F263">
        <v>20</v>
      </c>
      <c r="G263">
        <v>31580</v>
      </c>
      <c r="H263">
        <v>1579</v>
      </c>
      <c r="I263" s="1">
        <v>30001</v>
      </c>
      <c r="J263">
        <v>15790</v>
      </c>
      <c r="K263" s="1">
        <v>14211</v>
      </c>
      <c r="L263" s="3">
        <f>(K263/I263)</f>
        <v>0.47368421052631576</v>
      </c>
      <c r="M263" s="2">
        <v>41852</v>
      </c>
      <c r="N263">
        <v>8</v>
      </c>
      <c r="O263" t="s">
        <v>25</v>
      </c>
      <c r="P263">
        <v>2014</v>
      </c>
    </row>
    <row r="264" spans="1:16" x14ac:dyDescent="0.25">
      <c r="A264" t="s">
        <v>20</v>
      </c>
      <c r="B264" t="s">
        <v>3</v>
      </c>
      <c r="C264" t="s">
        <v>27</v>
      </c>
      <c r="D264" t="s">
        <v>29</v>
      </c>
      <c r="E264">
        <v>120</v>
      </c>
      <c r="F264">
        <v>125</v>
      </c>
      <c r="G264">
        <v>107625</v>
      </c>
      <c r="H264">
        <v>5381.25</v>
      </c>
      <c r="I264" s="1">
        <v>102243.75</v>
      </c>
      <c r="J264">
        <v>103320</v>
      </c>
      <c r="K264" s="1">
        <v>-1076.25</v>
      </c>
      <c r="L264" s="3">
        <f>(K264/I264)</f>
        <v>-1.0526315789473684E-2</v>
      </c>
      <c r="M264" s="2">
        <v>41913</v>
      </c>
      <c r="N264">
        <v>10</v>
      </c>
      <c r="O264" t="s">
        <v>24</v>
      </c>
      <c r="P264">
        <v>2014</v>
      </c>
    </row>
    <row r="265" spans="1:16" x14ac:dyDescent="0.25">
      <c r="A265" t="s">
        <v>20</v>
      </c>
      <c r="B265" t="s">
        <v>16</v>
      </c>
      <c r="C265" t="s">
        <v>27</v>
      </c>
      <c r="D265" t="s">
        <v>29</v>
      </c>
      <c r="E265">
        <v>120</v>
      </c>
      <c r="F265">
        <v>125</v>
      </c>
      <c r="G265">
        <v>88000</v>
      </c>
      <c r="H265">
        <v>4400</v>
      </c>
      <c r="I265" s="1">
        <v>83600</v>
      </c>
      <c r="J265">
        <v>84480</v>
      </c>
      <c r="K265" s="1">
        <v>-880</v>
      </c>
      <c r="L265" s="3">
        <f>(K265/I265)</f>
        <v>-1.0526315789473684E-2</v>
      </c>
      <c r="M265" s="2">
        <v>41548</v>
      </c>
      <c r="N265">
        <v>10</v>
      </c>
      <c r="O265" t="s">
        <v>22</v>
      </c>
      <c r="P265">
        <v>2013</v>
      </c>
    </row>
    <row r="266" spans="1:16" x14ac:dyDescent="0.25">
      <c r="A266" t="s">
        <v>8</v>
      </c>
      <c r="B266" t="s">
        <v>16</v>
      </c>
      <c r="C266" t="s">
        <v>27</v>
      </c>
      <c r="D266" t="s">
        <v>29</v>
      </c>
      <c r="E266">
        <v>120</v>
      </c>
      <c r="F266">
        <v>20</v>
      </c>
      <c r="G266">
        <v>20660</v>
      </c>
      <c r="H266">
        <v>1033</v>
      </c>
      <c r="I266" s="1">
        <v>19627</v>
      </c>
      <c r="J266">
        <v>10330</v>
      </c>
      <c r="K266" s="1">
        <v>9297</v>
      </c>
      <c r="L266" s="3">
        <f>(K266/I266)</f>
        <v>0.47368421052631576</v>
      </c>
      <c r="M266" s="2">
        <v>41609</v>
      </c>
      <c r="N266">
        <v>12</v>
      </c>
      <c r="O266" t="s">
        <v>21</v>
      </c>
      <c r="P266">
        <v>2013</v>
      </c>
    </row>
    <row r="267" spans="1:16" x14ac:dyDescent="0.25">
      <c r="A267" t="s">
        <v>14</v>
      </c>
      <c r="B267" t="s">
        <v>19</v>
      </c>
      <c r="C267" t="s">
        <v>27</v>
      </c>
      <c r="D267" t="s">
        <v>29</v>
      </c>
      <c r="E267">
        <v>120</v>
      </c>
      <c r="F267">
        <v>300</v>
      </c>
      <c r="G267">
        <v>375000</v>
      </c>
      <c r="H267">
        <v>18750</v>
      </c>
      <c r="I267" s="1">
        <v>356250</v>
      </c>
      <c r="J267">
        <v>312500</v>
      </c>
      <c r="K267" s="1">
        <v>43750</v>
      </c>
      <c r="L267" s="3">
        <f>(K267/I267)</f>
        <v>0.12280701754385964</v>
      </c>
      <c r="M267" s="2">
        <v>41974</v>
      </c>
      <c r="N267">
        <v>12</v>
      </c>
      <c r="O267" t="s">
        <v>18</v>
      </c>
      <c r="P267">
        <v>2014</v>
      </c>
    </row>
    <row r="268" spans="1:16" x14ac:dyDescent="0.25">
      <c r="A268" t="s">
        <v>8</v>
      </c>
      <c r="B268" t="s">
        <v>7</v>
      </c>
      <c r="C268" t="s">
        <v>2</v>
      </c>
      <c r="D268" t="s">
        <v>29</v>
      </c>
      <c r="E268">
        <v>250</v>
      </c>
      <c r="F268">
        <v>20</v>
      </c>
      <c r="G268">
        <v>27780</v>
      </c>
      <c r="H268">
        <v>1389</v>
      </c>
      <c r="I268" s="1">
        <v>26391</v>
      </c>
      <c r="J268">
        <v>13890</v>
      </c>
      <c r="K268" s="1">
        <v>12501</v>
      </c>
      <c r="L268" s="3">
        <f>(K268/I268)</f>
        <v>0.47368421052631576</v>
      </c>
      <c r="M268" s="2">
        <v>41548</v>
      </c>
      <c r="N268">
        <v>10</v>
      </c>
      <c r="O268" t="s">
        <v>17</v>
      </c>
      <c r="P268">
        <v>2013</v>
      </c>
    </row>
    <row r="269" spans="1:16" x14ac:dyDescent="0.25">
      <c r="A269" t="s">
        <v>8</v>
      </c>
      <c r="B269" t="s">
        <v>3</v>
      </c>
      <c r="C269" t="s">
        <v>2</v>
      </c>
      <c r="D269" t="s">
        <v>29</v>
      </c>
      <c r="E269">
        <v>250</v>
      </c>
      <c r="F269">
        <v>20</v>
      </c>
      <c r="G269">
        <v>25300</v>
      </c>
      <c r="H269">
        <v>1265</v>
      </c>
      <c r="I269" s="1">
        <v>24035</v>
      </c>
      <c r="J269">
        <v>12650</v>
      </c>
      <c r="K269" s="1">
        <v>11385</v>
      </c>
      <c r="L269" s="3">
        <f>(K269/I269)</f>
        <v>0.47368421052631576</v>
      </c>
      <c r="M269" s="2">
        <v>41579</v>
      </c>
      <c r="N269">
        <v>11</v>
      </c>
      <c r="O269" t="s">
        <v>15</v>
      </c>
      <c r="P269">
        <v>2013</v>
      </c>
    </row>
    <row r="270" spans="1:16" x14ac:dyDescent="0.25">
      <c r="A270" t="s">
        <v>8</v>
      </c>
      <c r="B270" t="s">
        <v>19</v>
      </c>
      <c r="C270" t="s">
        <v>2</v>
      </c>
      <c r="D270" t="s">
        <v>29</v>
      </c>
      <c r="E270">
        <v>250</v>
      </c>
      <c r="F270">
        <v>20</v>
      </c>
      <c r="G270">
        <v>45940</v>
      </c>
      <c r="H270">
        <v>2297</v>
      </c>
      <c r="I270" s="1">
        <v>43643</v>
      </c>
      <c r="J270">
        <v>22970</v>
      </c>
      <c r="K270" s="1">
        <v>20673</v>
      </c>
      <c r="L270" s="3">
        <f>(K270/I270)</f>
        <v>0.47368421052631576</v>
      </c>
      <c r="M270" s="2">
        <v>41579</v>
      </c>
      <c r="N270">
        <v>11</v>
      </c>
      <c r="O270" t="s">
        <v>12</v>
      </c>
      <c r="P270">
        <v>2013</v>
      </c>
    </row>
    <row r="271" spans="1:16" x14ac:dyDescent="0.25">
      <c r="A271" t="s">
        <v>8</v>
      </c>
      <c r="B271" t="s">
        <v>3</v>
      </c>
      <c r="C271" t="s">
        <v>2</v>
      </c>
      <c r="D271" t="s">
        <v>29</v>
      </c>
      <c r="E271">
        <v>250</v>
      </c>
      <c r="F271">
        <v>20</v>
      </c>
      <c r="G271">
        <v>53260</v>
      </c>
      <c r="H271">
        <v>2663</v>
      </c>
      <c r="I271" s="1">
        <v>50597</v>
      </c>
      <c r="J271">
        <v>26630</v>
      </c>
      <c r="K271" s="1">
        <v>23967</v>
      </c>
      <c r="L271" s="3">
        <f>(K271/I271)</f>
        <v>0.47368421052631576</v>
      </c>
      <c r="M271" s="2">
        <v>41974</v>
      </c>
      <c r="N271">
        <v>12</v>
      </c>
      <c r="O271" t="s">
        <v>9</v>
      </c>
      <c r="P271">
        <v>2014</v>
      </c>
    </row>
    <row r="272" spans="1:16" x14ac:dyDescent="0.25">
      <c r="A272" t="s">
        <v>8</v>
      </c>
      <c r="B272" t="s">
        <v>3</v>
      </c>
      <c r="C272" t="s">
        <v>2</v>
      </c>
      <c r="D272" t="s">
        <v>29</v>
      </c>
      <c r="E272">
        <v>250</v>
      </c>
      <c r="F272">
        <v>7</v>
      </c>
      <c r="G272">
        <v>3990</v>
      </c>
      <c r="H272">
        <v>199.5</v>
      </c>
      <c r="I272" s="1">
        <v>3790.5</v>
      </c>
      <c r="J272">
        <v>2850</v>
      </c>
      <c r="K272" s="1">
        <v>940.5</v>
      </c>
      <c r="L272" s="3">
        <f>(K272/I272)</f>
        <v>0.24812030075187969</v>
      </c>
      <c r="M272" s="2">
        <v>41974</v>
      </c>
      <c r="N272">
        <v>12</v>
      </c>
      <c r="O272" t="s">
        <v>5</v>
      </c>
      <c r="P272">
        <v>2014</v>
      </c>
    </row>
    <row r="273" spans="1:16" x14ac:dyDescent="0.25">
      <c r="A273" t="s">
        <v>8</v>
      </c>
      <c r="B273" t="s">
        <v>16</v>
      </c>
      <c r="C273" t="s">
        <v>2</v>
      </c>
      <c r="D273" t="s">
        <v>29</v>
      </c>
      <c r="E273">
        <v>250</v>
      </c>
      <c r="F273">
        <v>7</v>
      </c>
      <c r="G273">
        <v>17409</v>
      </c>
      <c r="H273">
        <v>870.45</v>
      </c>
      <c r="I273" s="1">
        <v>16538.55</v>
      </c>
      <c r="J273">
        <v>12435</v>
      </c>
      <c r="K273" s="1">
        <v>4103.5499999999993</v>
      </c>
      <c r="L273" s="3">
        <f>(K273/I273)</f>
        <v>0.24812030075187966</v>
      </c>
      <c r="M273" s="2">
        <v>41974</v>
      </c>
      <c r="N273">
        <v>12</v>
      </c>
      <c r="O273" t="s">
        <v>0</v>
      </c>
      <c r="P273">
        <v>2014</v>
      </c>
    </row>
    <row r="274" spans="1:16" x14ac:dyDescent="0.25">
      <c r="A274" t="s">
        <v>8</v>
      </c>
      <c r="B274" t="s">
        <v>19</v>
      </c>
      <c r="C274" t="s">
        <v>13</v>
      </c>
      <c r="D274" t="s">
        <v>29</v>
      </c>
      <c r="E274">
        <v>260</v>
      </c>
      <c r="F274">
        <v>350</v>
      </c>
      <c r="G274">
        <v>472500</v>
      </c>
      <c r="H274">
        <v>23625</v>
      </c>
      <c r="I274" s="1">
        <v>448875</v>
      </c>
      <c r="J274">
        <v>351000</v>
      </c>
      <c r="K274" s="1">
        <v>97875</v>
      </c>
      <c r="L274" s="3">
        <f>(K274/I274)</f>
        <v>0.21804511278195488</v>
      </c>
      <c r="M274" s="2">
        <v>41671</v>
      </c>
      <c r="N274">
        <v>2</v>
      </c>
      <c r="O274" t="s">
        <v>26</v>
      </c>
      <c r="P274">
        <v>2014</v>
      </c>
    </row>
    <row r="275" spans="1:16" x14ac:dyDescent="0.25">
      <c r="A275" t="s">
        <v>8</v>
      </c>
      <c r="B275" t="s">
        <v>7</v>
      </c>
      <c r="C275" t="s">
        <v>13</v>
      </c>
      <c r="D275" t="s">
        <v>29</v>
      </c>
      <c r="E275">
        <v>260</v>
      </c>
      <c r="F275">
        <v>350</v>
      </c>
      <c r="G275">
        <v>193200</v>
      </c>
      <c r="H275">
        <v>9660</v>
      </c>
      <c r="I275" s="1">
        <v>183540</v>
      </c>
      <c r="J275">
        <v>143520</v>
      </c>
      <c r="K275" s="1">
        <v>40020</v>
      </c>
      <c r="L275" s="3">
        <f>(K275/I275)</f>
        <v>0.21804511278195488</v>
      </c>
      <c r="M275" s="2">
        <v>41852</v>
      </c>
      <c r="N275">
        <v>8</v>
      </c>
      <c r="O275" t="s">
        <v>25</v>
      </c>
      <c r="P275">
        <v>2014</v>
      </c>
    </row>
    <row r="276" spans="1:16" x14ac:dyDescent="0.25">
      <c r="A276" t="s">
        <v>8</v>
      </c>
      <c r="B276" t="s">
        <v>7</v>
      </c>
      <c r="C276" t="s">
        <v>13</v>
      </c>
      <c r="D276" t="s">
        <v>29</v>
      </c>
      <c r="E276">
        <v>260</v>
      </c>
      <c r="F276">
        <v>350</v>
      </c>
      <c r="G276">
        <v>429800</v>
      </c>
      <c r="H276">
        <v>21490</v>
      </c>
      <c r="I276" s="1">
        <v>408310</v>
      </c>
      <c r="J276">
        <v>319280</v>
      </c>
      <c r="K276" s="1">
        <v>89030</v>
      </c>
      <c r="L276" s="3">
        <f>(K276/I276)</f>
        <v>0.21804511278195488</v>
      </c>
      <c r="M276" s="2">
        <v>41548</v>
      </c>
      <c r="N276">
        <v>10</v>
      </c>
      <c r="O276" t="s">
        <v>24</v>
      </c>
      <c r="P276">
        <v>2013</v>
      </c>
    </row>
    <row r="277" spans="1:16" x14ac:dyDescent="0.25">
      <c r="A277" t="s">
        <v>14</v>
      </c>
      <c r="B277" t="s">
        <v>19</v>
      </c>
      <c r="C277" t="s">
        <v>13</v>
      </c>
      <c r="D277" t="s">
        <v>29</v>
      </c>
      <c r="E277">
        <v>260</v>
      </c>
      <c r="F277">
        <v>300</v>
      </c>
      <c r="G277">
        <v>375000</v>
      </c>
      <c r="H277">
        <v>18750</v>
      </c>
      <c r="I277" s="1">
        <v>356250</v>
      </c>
      <c r="J277">
        <v>312500</v>
      </c>
      <c r="K277" s="1">
        <v>43750</v>
      </c>
      <c r="L277" s="3">
        <f>(K277/I277)</f>
        <v>0.12280701754385964</v>
      </c>
      <c r="M277" s="2">
        <v>41974</v>
      </c>
      <c r="N277">
        <v>12</v>
      </c>
      <c r="O277" t="s">
        <v>22</v>
      </c>
      <c r="P277">
        <v>2014</v>
      </c>
    </row>
    <row r="278" spans="1:16" x14ac:dyDescent="0.25">
      <c r="A278" t="s">
        <v>23</v>
      </c>
      <c r="B278" t="s">
        <v>16</v>
      </c>
      <c r="C278" t="s">
        <v>6</v>
      </c>
      <c r="D278" t="s">
        <v>29</v>
      </c>
      <c r="E278">
        <v>10</v>
      </c>
      <c r="F278">
        <v>15</v>
      </c>
      <c r="G278">
        <v>57015</v>
      </c>
      <c r="H278">
        <v>3420.8999999999996</v>
      </c>
      <c r="I278" s="1">
        <v>53594.100000000006</v>
      </c>
      <c r="J278">
        <v>38010</v>
      </c>
      <c r="K278" s="1">
        <v>15584.100000000002</v>
      </c>
      <c r="L278" s="3">
        <f>(K278/I278)</f>
        <v>0.29078014184397166</v>
      </c>
      <c r="M278" s="2">
        <v>41730</v>
      </c>
      <c r="N278">
        <v>4</v>
      </c>
      <c r="O278" t="s">
        <v>21</v>
      </c>
      <c r="P278">
        <v>2014</v>
      </c>
    </row>
    <row r="279" spans="1:16" x14ac:dyDescent="0.25">
      <c r="A279" t="s">
        <v>8</v>
      </c>
      <c r="B279" t="s">
        <v>3</v>
      </c>
      <c r="C279" t="s">
        <v>28</v>
      </c>
      <c r="D279" t="s">
        <v>29</v>
      </c>
      <c r="E279">
        <v>3</v>
      </c>
      <c r="F279">
        <v>20</v>
      </c>
      <c r="G279">
        <v>22350</v>
      </c>
      <c r="H279">
        <v>1341</v>
      </c>
      <c r="I279" s="1">
        <v>21009</v>
      </c>
      <c r="J279">
        <v>11175</v>
      </c>
      <c r="K279" s="1">
        <v>9834</v>
      </c>
      <c r="L279" s="3">
        <f>(K279/I279)</f>
        <v>0.46808510638297873</v>
      </c>
      <c r="M279" s="2">
        <v>41640</v>
      </c>
      <c r="N279">
        <v>1</v>
      </c>
      <c r="O279" t="s">
        <v>18</v>
      </c>
      <c r="P279">
        <v>2014</v>
      </c>
    </row>
    <row r="280" spans="1:16" x14ac:dyDescent="0.25">
      <c r="A280" t="s">
        <v>23</v>
      </c>
      <c r="B280" t="s">
        <v>7</v>
      </c>
      <c r="C280" t="s">
        <v>28</v>
      </c>
      <c r="D280" t="s">
        <v>29</v>
      </c>
      <c r="E280">
        <v>3</v>
      </c>
      <c r="F280">
        <v>15</v>
      </c>
      <c r="G280">
        <v>42660</v>
      </c>
      <c r="H280">
        <v>2559.6</v>
      </c>
      <c r="I280" s="1">
        <v>40100.400000000001</v>
      </c>
      <c r="J280">
        <v>28440</v>
      </c>
      <c r="K280" s="1">
        <v>11660.400000000001</v>
      </c>
      <c r="L280" s="3">
        <f>(K280/I280)</f>
        <v>0.29078014184397166</v>
      </c>
      <c r="M280" s="2">
        <v>41791</v>
      </c>
      <c r="N280">
        <v>6</v>
      </c>
      <c r="O280" t="s">
        <v>17</v>
      </c>
      <c r="P280">
        <v>2014</v>
      </c>
    </row>
    <row r="281" spans="1:16" x14ac:dyDescent="0.25">
      <c r="A281" t="s">
        <v>4</v>
      </c>
      <c r="B281" t="s">
        <v>11</v>
      </c>
      <c r="C281" t="s">
        <v>28</v>
      </c>
      <c r="D281" t="s">
        <v>29</v>
      </c>
      <c r="E281">
        <v>3</v>
      </c>
      <c r="F281">
        <v>12</v>
      </c>
      <c r="G281">
        <v>6744</v>
      </c>
      <c r="H281">
        <v>404.64</v>
      </c>
      <c r="I281" s="1">
        <v>6339.36</v>
      </c>
      <c r="J281">
        <v>1686</v>
      </c>
      <c r="K281" s="1">
        <v>4653.3599999999997</v>
      </c>
      <c r="L281" s="3">
        <f>(K281/I281)</f>
        <v>0.73404255319148937</v>
      </c>
      <c r="M281" s="2">
        <v>41883</v>
      </c>
      <c r="N281">
        <v>9</v>
      </c>
      <c r="O281" t="s">
        <v>15</v>
      </c>
      <c r="P281">
        <v>2014</v>
      </c>
    </row>
    <row r="282" spans="1:16" x14ac:dyDescent="0.25">
      <c r="A282" t="s">
        <v>4</v>
      </c>
      <c r="B282" t="s">
        <v>7</v>
      </c>
      <c r="C282" t="s">
        <v>28</v>
      </c>
      <c r="D282" t="s">
        <v>29</v>
      </c>
      <c r="E282">
        <v>3</v>
      </c>
      <c r="F282">
        <v>12</v>
      </c>
      <c r="G282">
        <v>27588</v>
      </c>
      <c r="H282">
        <v>1655.28</v>
      </c>
      <c r="I282" s="1">
        <v>25932.720000000001</v>
      </c>
      <c r="J282">
        <v>6897</v>
      </c>
      <c r="K282" s="1">
        <v>19035.72</v>
      </c>
      <c r="L282" s="3">
        <f>(K282/I282)</f>
        <v>0.73404255319148937</v>
      </c>
      <c r="M282" s="2">
        <v>41548</v>
      </c>
      <c r="N282">
        <v>10</v>
      </c>
      <c r="O282" t="s">
        <v>12</v>
      </c>
      <c r="P282">
        <v>2013</v>
      </c>
    </row>
    <row r="283" spans="1:16" x14ac:dyDescent="0.25">
      <c r="A283" t="s">
        <v>23</v>
      </c>
      <c r="B283" t="s">
        <v>3</v>
      </c>
      <c r="C283" t="s">
        <v>28</v>
      </c>
      <c r="D283" t="s">
        <v>29</v>
      </c>
      <c r="E283">
        <v>3</v>
      </c>
      <c r="F283">
        <v>15</v>
      </c>
      <c r="G283">
        <v>30450</v>
      </c>
      <c r="H283">
        <v>1827</v>
      </c>
      <c r="I283" s="1">
        <v>28623</v>
      </c>
      <c r="J283">
        <v>20300</v>
      </c>
      <c r="K283" s="1">
        <v>8323</v>
      </c>
      <c r="L283" s="3">
        <f>(K283/I283)</f>
        <v>0.29078014184397161</v>
      </c>
      <c r="M283" s="2">
        <v>41944</v>
      </c>
      <c r="N283">
        <v>11</v>
      </c>
      <c r="O283" t="s">
        <v>9</v>
      </c>
      <c r="P283">
        <v>2014</v>
      </c>
    </row>
    <row r="284" spans="1:16" x14ac:dyDescent="0.25">
      <c r="A284" t="s">
        <v>8</v>
      </c>
      <c r="B284" t="s">
        <v>3</v>
      </c>
      <c r="C284" t="s">
        <v>28</v>
      </c>
      <c r="D284" t="s">
        <v>29</v>
      </c>
      <c r="E284">
        <v>3</v>
      </c>
      <c r="F284">
        <v>7</v>
      </c>
      <c r="G284">
        <v>1841</v>
      </c>
      <c r="H284">
        <v>110.46</v>
      </c>
      <c r="I284" s="1">
        <v>1730.54</v>
      </c>
      <c r="J284">
        <v>1315</v>
      </c>
      <c r="K284" s="1">
        <v>415.53999999999996</v>
      </c>
      <c r="L284" s="3">
        <f>(K284/I284)</f>
        <v>0.24012158054711244</v>
      </c>
      <c r="M284" s="2">
        <v>41579</v>
      </c>
      <c r="N284">
        <v>11</v>
      </c>
      <c r="O284" t="s">
        <v>5</v>
      </c>
      <c r="P284">
        <v>2013</v>
      </c>
    </row>
    <row r="285" spans="1:16" x14ac:dyDescent="0.25">
      <c r="A285" t="s">
        <v>20</v>
      </c>
      <c r="B285" t="s">
        <v>19</v>
      </c>
      <c r="C285" t="s">
        <v>28</v>
      </c>
      <c r="D285" t="s">
        <v>29</v>
      </c>
      <c r="E285">
        <v>3</v>
      </c>
      <c r="F285">
        <v>125</v>
      </c>
      <c r="G285">
        <v>110875</v>
      </c>
      <c r="H285">
        <v>6652.5</v>
      </c>
      <c r="I285" s="1">
        <v>104222.5</v>
      </c>
      <c r="J285">
        <v>106440</v>
      </c>
      <c r="K285" s="1">
        <v>-2217.5</v>
      </c>
      <c r="L285" s="3">
        <f>(K285/I285)</f>
        <v>-2.1276595744680851E-2</v>
      </c>
      <c r="M285" s="2">
        <v>41609</v>
      </c>
      <c r="N285">
        <v>12</v>
      </c>
      <c r="O285" t="s">
        <v>0</v>
      </c>
      <c r="P285">
        <v>2013</v>
      </c>
    </row>
    <row r="286" spans="1:16" x14ac:dyDescent="0.25">
      <c r="A286" t="s">
        <v>8</v>
      </c>
      <c r="B286" t="s">
        <v>11</v>
      </c>
      <c r="C286" t="s">
        <v>10</v>
      </c>
      <c r="D286" t="s">
        <v>29</v>
      </c>
      <c r="E286">
        <v>5</v>
      </c>
      <c r="F286">
        <v>350</v>
      </c>
      <c r="G286">
        <v>343000</v>
      </c>
      <c r="H286">
        <v>20580</v>
      </c>
      <c r="I286" s="1">
        <v>322420</v>
      </c>
      <c r="J286">
        <v>254800</v>
      </c>
      <c r="K286" s="1">
        <v>67620</v>
      </c>
      <c r="L286" s="3">
        <f>(K286/I286)</f>
        <v>0.20972644376899696</v>
      </c>
      <c r="M286" s="2">
        <v>41730</v>
      </c>
      <c r="N286">
        <v>4</v>
      </c>
      <c r="O286" t="s">
        <v>26</v>
      </c>
      <c r="P286">
        <v>2014</v>
      </c>
    </row>
    <row r="287" spans="1:16" x14ac:dyDescent="0.25">
      <c r="A287" t="s">
        <v>8</v>
      </c>
      <c r="B287" t="s">
        <v>19</v>
      </c>
      <c r="C287" t="s">
        <v>10</v>
      </c>
      <c r="D287" t="s">
        <v>29</v>
      </c>
      <c r="E287">
        <v>5</v>
      </c>
      <c r="F287">
        <v>350</v>
      </c>
      <c r="G287">
        <v>511000</v>
      </c>
      <c r="H287">
        <v>30660</v>
      </c>
      <c r="I287" s="1">
        <v>480340</v>
      </c>
      <c r="J287">
        <v>379600</v>
      </c>
      <c r="K287" s="1">
        <v>100740</v>
      </c>
      <c r="L287" s="3">
        <f>(K287/I287)</f>
        <v>0.20972644376899696</v>
      </c>
      <c r="M287" s="2">
        <v>41760</v>
      </c>
      <c r="N287">
        <v>5</v>
      </c>
      <c r="O287" t="s">
        <v>25</v>
      </c>
      <c r="P287">
        <v>2014</v>
      </c>
    </row>
    <row r="288" spans="1:16" x14ac:dyDescent="0.25">
      <c r="A288" t="s">
        <v>8</v>
      </c>
      <c r="B288" t="s">
        <v>16</v>
      </c>
      <c r="C288" t="s">
        <v>10</v>
      </c>
      <c r="D288" t="s">
        <v>29</v>
      </c>
      <c r="E288">
        <v>5</v>
      </c>
      <c r="F288">
        <v>7</v>
      </c>
      <c r="G288">
        <v>9821</v>
      </c>
      <c r="H288">
        <v>589.26</v>
      </c>
      <c r="I288" s="1">
        <v>9231.74</v>
      </c>
      <c r="J288">
        <v>7015</v>
      </c>
      <c r="K288" s="1">
        <v>2216.7399999999998</v>
      </c>
      <c r="L288" s="3">
        <f>(K288/I288)</f>
        <v>0.24012158054711244</v>
      </c>
      <c r="M288" s="2">
        <v>41548</v>
      </c>
      <c r="N288">
        <v>10</v>
      </c>
      <c r="O288" t="s">
        <v>24</v>
      </c>
      <c r="P288">
        <v>2013</v>
      </c>
    </row>
    <row r="289" spans="1:16" x14ac:dyDescent="0.25">
      <c r="A289" t="s">
        <v>4</v>
      </c>
      <c r="B289" t="s">
        <v>3</v>
      </c>
      <c r="C289" t="s">
        <v>10</v>
      </c>
      <c r="D289" t="s">
        <v>29</v>
      </c>
      <c r="E289">
        <v>5</v>
      </c>
      <c r="F289">
        <v>12</v>
      </c>
      <c r="G289">
        <v>32676</v>
      </c>
      <c r="H289">
        <v>1960.56</v>
      </c>
      <c r="I289" s="1">
        <v>30715.439999999999</v>
      </c>
      <c r="J289">
        <v>8169</v>
      </c>
      <c r="K289" s="1">
        <v>22546.44</v>
      </c>
      <c r="L289" s="3">
        <f>(K289/I289)</f>
        <v>0.73404255319148937</v>
      </c>
      <c r="M289" s="2">
        <v>41944</v>
      </c>
      <c r="N289">
        <v>11</v>
      </c>
      <c r="O289" t="s">
        <v>22</v>
      </c>
      <c r="P289">
        <v>2014</v>
      </c>
    </row>
    <row r="290" spans="1:16" x14ac:dyDescent="0.25">
      <c r="A290" t="s">
        <v>8</v>
      </c>
      <c r="B290" t="s">
        <v>16</v>
      </c>
      <c r="C290" t="s">
        <v>6</v>
      </c>
      <c r="D290" t="s">
        <v>29</v>
      </c>
      <c r="E290">
        <v>10</v>
      </c>
      <c r="F290">
        <v>350</v>
      </c>
      <c r="G290">
        <v>523600</v>
      </c>
      <c r="H290">
        <v>31416</v>
      </c>
      <c r="I290" s="1">
        <v>492184</v>
      </c>
      <c r="J290">
        <v>388960</v>
      </c>
      <c r="K290" s="1">
        <v>103224</v>
      </c>
      <c r="L290" s="3">
        <f>(K290/I290)</f>
        <v>0.20972644376899696</v>
      </c>
      <c r="M290" s="2">
        <v>41791</v>
      </c>
      <c r="N290">
        <v>6</v>
      </c>
      <c r="O290" t="s">
        <v>21</v>
      </c>
      <c r="P290">
        <v>2014</v>
      </c>
    </row>
    <row r="291" spans="1:16" x14ac:dyDescent="0.25">
      <c r="A291" t="s">
        <v>4</v>
      </c>
      <c r="B291" t="s">
        <v>7</v>
      </c>
      <c r="C291" t="s">
        <v>6</v>
      </c>
      <c r="D291" t="s">
        <v>29</v>
      </c>
      <c r="E291">
        <v>10</v>
      </c>
      <c r="F291">
        <v>12</v>
      </c>
      <c r="G291">
        <v>27588</v>
      </c>
      <c r="H291">
        <v>1655.28</v>
      </c>
      <c r="I291" s="1">
        <v>25932.720000000001</v>
      </c>
      <c r="J291">
        <v>6897</v>
      </c>
      <c r="K291" s="1">
        <v>19035.72</v>
      </c>
      <c r="L291" s="3">
        <f>(K291/I291)</f>
        <v>0.73404255319148937</v>
      </c>
      <c r="M291" s="2">
        <v>41548</v>
      </c>
      <c r="N291">
        <v>10</v>
      </c>
      <c r="O291" t="s">
        <v>18</v>
      </c>
      <c r="P291">
        <v>2013</v>
      </c>
    </row>
    <row r="292" spans="1:16" x14ac:dyDescent="0.25">
      <c r="A292" t="s">
        <v>8</v>
      </c>
      <c r="B292" t="s">
        <v>3</v>
      </c>
      <c r="C292" t="s">
        <v>6</v>
      </c>
      <c r="D292" t="s">
        <v>29</v>
      </c>
      <c r="E292">
        <v>10</v>
      </c>
      <c r="F292">
        <v>350</v>
      </c>
      <c r="G292">
        <v>254450</v>
      </c>
      <c r="H292">
        <v>15267</v>
      </c>
      <c r="I292" s="1">
        <v>239183</v>
      </c>
      <c r="J292">
        <v>189020</v>
      </c>
      <c r="K292" s="1">
        <v>50163</v>
      </c>
      <c r="L292" s="3">
        <f>(K292/I292)</f>
        <v>0.20972644376899696</v>
      </c>
      <c r="M292" s="2">
        <v>41548</v>
      </c>
      <c r="N292">
        <v>10</v>
      </c>
      <c r="O292" t="s">
        <v>17</v>
      </c>
      <c r="P292">
        <v>2013</v>
      </c>
    </row>
    <row r="293" spans="1:16" x14ac:dyDescent="0.25">
      <c r="A293" t="s">
        <v>20</v>
      </c>
      <c r="B293" t="s">
        <v>7</v>
      </c>
      <c r="C293" t="s">
        <v>27</v>
      </c>
      <c r="D293" t="s">
        <v>29</v>
      </c>
      <c r="E293">
        <v>120</v>
      </c>
      <c r="F293">
        <v>125</v>
      </c>
      <c r="G293">
        <v>119000</v>
      </c>
      <c r="H293">
        <v>7140</v>
      </c>
      <c r="I293" s="1">
        <v>111860</v>
      </c>
      <c r="J293">
        <v>114240</v>
      </c>
      <c r="K293" s="1">
        <v>-2380</v>
      </c>
      <c r="L293" s="3">
        <f>(K293/I293)</f>
        <v>-2.1276595744680851E-2</v>
      </c>
      <c r="M293" s="2">
        <v>41671</v>
      </c>
      <c r="N293">
        <v>2</v>
      </c>
      <c r="O293" t="s">
        <v>15</v>
      </c>
      <c r="P293">
        <v>2014</v>
      </c>
    </row>
    <row r="294" spans="1:16" x14ac:dyDescent="0.25">
      <c r="A294" t="s">
        <v>20</v>
      </c>
      <c r="B294" t="s">
        <v>3</v>
      </c>
      <c r="C294" t="s">
        <v>27</v>
      </c>
      <c r="D294" t="s">
        <v>29</v>
      </c>
      <c r="E294">
        <v>120</v>
      </c>
      <c r="F294">
        <v>125</v>
      </c>
      <c r="G294">
        <v>344375</v>
      </c>
      <c r="H294">
        <v>20662.5</v>
      </c>
      <c r="I294" s="1">
        <v>323712.5</v>
      </c>
      <c r="J294">
        <v>330600</v>
      </c>
      <c r="K294" s="1">
        <v>-6887.5</v>
      </c>
      <c r="L294" s="3">
        <f>(K294/I294)</f>
        <v>-2.1276595744680851E-2</v>
      </c>
      <c r="M294" s="2">
        <v>41671</v>
      </c>
      <c r="N294">
        <v>2</v>
      </c>
      <c r="O294" t="s">
        <v>12</v>
      </c>
      <c r="P294">
        <v>2014</v>
      </c>
    </row>
    <row r="295" spans="1:16" x14ac:dyDescent="0.25">
      <c r="A295" t="s">
        <v>23</v>
      </c>
      <c r="B295" t="s">
        <v>19</v>
      </c>
      <c r="C295" t="s">
        <v>27</v>
      </c>
      <c r="D295" t="s">
        <v>29</v>
      </c>
      <c r="E295">
        <v>120</v>
      </c>
      <c r="F295">
        <v>15</v>
      </c>
      <c r="G295">
        <v>22950</v>
      </c>
      <c r="H295">
        <v>1377</v>
      </c>
      <c r="I295" s="1">
        <v>21573</v>
      </c>
      <c r="J295">
        <v>15300</v>
      </c>
      <c r="K295" s="1">
        <v>6273</v>
      </c>
      <c r="L295" s="3">
        <f>(K295/I295)</f>
        <v>0.29078014184397161</v>
      </c>
      <c r="M295" s="2">
        <v>41760</v>
      </c>
      <c r="N295">
        <v>5</v>
      </c>
      <c r="O295" t="s">
        <v>9</v>
      </c>
      <c r="P295">
        <v>2014</v>
      </c>
    </row>
    <row r="296" spans="1:16" x14ac:dyDescent="0.25">
      <c r="A296" t="s">
        <v>8</v>
      </c>
      <c r="B296" t="s">
        <v>16</v>
      </c>
      <c r="C296" t="s">
        <v>27</v>
      </c>
      <c r="D296" t="s">
        <v>29</v>
      </c>
      <c r="E296">
        <v>120</v>
      </c>
      <c r="F296">
        <v>350</v>
      </c>
      <c r="G296">
        <v>523600</v>
      </c>
      <c r="H296">
        <v>31416</v>
      </c>
      <c r="I296" s="1">
        <v>492184</v>
      </c>
      <c r="J296">
        <v>388960</v>
      </c>
      <c r="K296" s="1">
        <v>103224</v>
      </c>
      <c r="L296" s="3">
        <f>(K296/I296)</f>
        <v>0.20972644376899696</v>
      </c>
      <c r="M296" s="2">
        <v>41791</v>
      </c>
      <c r="N296">
        <v>6</v>
      </c>
      <c r="O296" t="s">
        <v>5</v>
      </c>
      <c r="P296">
        <v>2014</v>
      </c>
    </row>
    <row r="297" spans="1:16" x14ac:dyDescent="0.25">
      <c r="A297" t="s">
        <v>8</v>
      </c>
      <c r="B297" t="s">
        <v>11</v>
      </c>
      <c r="C297" t="s">
        <v>27</v>
      </c>
      <c r="D297" t="s">
        <v>29</v>
      </c>
      <c r="E297">
        <v>120</v>
      </c>
      <c r="F297">
        <v>7</v>
      </c>
      <c r="G297">
        <v>10486</v>
      </c>
      <c r="H297">
        <v>629.16</v>
      </c>
      <c r="I297" s="1">
        <v>9856.84</v>
      </c>
      <c r="J297">
        <v>7490</v>
      </c>
      <c r="K297" s="1">
        <v>2366.84</v>
      </c>
      <c r="L297" s="3">
        <f>(K297/I297)</f>
        <v>0.24012158054711247</v>
      </c>
      <c r="M297" s="2">
        <v>41791</v>
      </c>
      <c r="N297">
        <v>6</v>
      </c>
      <c r="O297" t="s">
        <v>0</v>
      </c>
      <c r="P297">
        <v>2014</v>
      </c>
    </row>
    <row r="298" spans="1:16" x14ac:dyDescent="0.25">
      <c r="A298" t="s">
        <v>14</v>
      </c>
      <c r="B298" t="s">
        <v>16</v>
      </c>
      <c r="C298" t="s">
        <v>27</v>
      </c>
      <c r="D298" t="s">
        <v>29</v>
      </c>
      <c r="E298">
        <v>120</v>
      </c>
      <c r="F298">
        <v>300</v>
      </c>
      <c r="G298">
        <v>366300</v>
      </c>
      <c r="H298">
        <v>21978</v>
      </c>
      <c r="I298" s="1">
        <v>344322</v>
      </c>
      <c r="J298">
        <v>305250</v>
      </c>
      <c r="K298" s="1">
        <v>39072</v>
      </c>
      <c r="L298" s="3">
        <f>(K298/I298)</f>
        <v>0.11347517730496454</v>
      </c>
      <c r="M298" s="2">
        <v>41548</v>
      </c>
      <c r="N298">
        <v>10</v>
      </c>
      <c r="O298" t="s">
        <v>26</v>
      </c>
      <c r="P298">
        <v>2013</v>
      </c>
    </row>
    <row r="299" spans="1:16" x14ac:dyDescent="0.25">
      <c r="A299" t="s">
        <v>8</v>
      </c>
      <c r="B299" t="s">
        <v>16</v>
      </c>
      <c r="C299" t="s">
        <v>27</v>
      </c>
      <c r="D299" t="s">
        <v>29</v>
      </c>
      <c r="E299">
        <v>120</v>
      </c>
      <c r="F299">
        <v>350</v>
      </c>
      <c r="G299">
        <v>726600</v>
      </c>
      <c r="H299">
        <v>43596</v>
      </c>
      <c r="I299" s="1">
        <v>683004</v>
      </c>
      <c r="J299">
        <v>539760</v>
      </c>
      <c r="K299" s="1">
        <v>143244</v>
      </c>
      <c r="L299" s="3">
        <f>(K299/I299)</f>
        <v>0.20972644376899696</v>
      </c>
      <c r="M299" s="2">
        <v>41548</v>
      </c>
      <c r="N299">
        <v>10</v>
      </c>
      <c r="O299" t="s">
        <v>25</v>
      </c>
      <c r="P299">
        <v>2013</v>
      </c>
    </row>
    <row r="300" spans="1:16" x14ac:dyDescent="0.25">
      <c r="A300" t="s">
        <v>23</v>
      </c>
      <c r="B300" t="s">
        <v>7</v>
      </c>
      <c r="C300" t="s">
        <v>2</v>
      </c>
      <c r="D300" t="s">
        <v>29</v>
      </c>
      <c r="E300">
        <v>250</v>
      </c>
      <c r="F300">
        <v>15</v>
      </c>
      <c r="G300">
        <v>42660</v>
      </c>
      <c r="H300">
        <v>2559.6</v>
      </c>
      <c r="I300" s="1">
        <v>40100.400000000001</v>
      </c>
      <c r="J300">
        <v>28440</v>
      </c>
      <c r="K300" s="1">
        <v>11660.400000000001</v>
      </c>
      <c r="L300" s="3">
        <f>(K300/I300)</f>
        <v>0.29078014184397166</v>
      </c>
      <c r="M300" s="2">
        <v>41791</v>
      </c>
      <c r="N300">
        <v>6</v>
      </c>
      <c r="O300" t="s">
        <v>24</v>
      </c>
      <c r="P300">
        <v>2014</v>
      </c>
    </row>
    <row r="301" spans="1:16" x14ac:dyDescent="0.25">
      <c r="A301" t="s">
        <v>8</v>
      </c>
      <c r="B301" t="s">
        <v>11</v>
      </c>
      <c r="C301" t="s">
        <v>2</v>
      </c>
      <c r="D301" t="s">
        <v>29</v>
      </c>
      <c r="E301">
        <v>250</v>
      </c>
      <c r="F301">
        <v>7</v>
      </c>
      <c r="G301">
        <v>10486</v>
      </c>
      <c r="H301">
        <v>629.16</v>
      </c>
      <c r="I301" s="1">
        <v>9856.84</v>
      </c>
      <c r="J301">
        <v>7490</v>
      </c>
      <c r="K301" s="1">
        <v>2366.84</v>
      </c>
      <c r="L301" s="3">
        <f>(K301/I301)</f>
        <v>0.24012158054711247</v>
      </c>
      <c r="M301" s="2">
        <v>41791</v>
      </c>
      <c r="N301">
        <v>6</v>
      </c>
      <c r="O301" t="s">
        <v>22</v>
      </c>
      <c r="P301">
        <v>2014</v>
      </c>
    </row>
    <row r="302" spans="1:16" x14ac:dyDescent="0.25">
      <c r="A302" t="s">
        <v>14</v>
      </c>
      <c r="B302" t="s">
        <v>16</v>
      </c>
      <c r="C302" t="s">
        <v>2</v>
      </c>
      <c r="D302" t="s">
        <v>29</v>
      </c>
      <c r="E302">
        <v>250</v>
      </c>
      <c r="F302">
        <v>300</v>
      </c>
      <c r="G302">
        <v>366300</v>
      </c>
      <c r="H302">
        <v>21978</v>
      </c>
      <c r="I302" s="1">
        <v>344322</v>
      </c>
      <c r="J302">
        <v>305250</v>
      </c>
      <c r="K302" s="1">
        <v>39072</v>
      </c>
      <c r="L302" s="3">
        <f>(K302/I302)</f>
        <v>0.11347517730496454</v>
      </c>
      <c r="M302" s="2">
        <v>41548</v>
      </c>
      <c r="N302">
        <v>10</v>
      </c>
      <c r="O302" t="s">
        <v>21</v>
      </c>
      <c r="P302">
        <v>2013</v>
      </c>
    </row>
    <row r="303" spans="1:16" x14ac:dyDescent="0.25">
      <c r="A303" t="s">
        <v>8</v>
      </c>
      <c r="B303" t="s">
        <v>11</v>
      </c>
      <c r="C303" t="s">
        <v>2</v>
      </c>
      <c r="D303" t="s">
        <v>29</v>
      </c>
      <c r="E303">
        <v>250</v>
      </c>
      <c r="F303">
        <v>20</v>
      </c>
      <c r="G303">
        <v>22460</v>
      </c>
      <c r="H303">
        <v>1347.6</v>
      </c>
      <c r="I303" s="1">
        <v>21112.400000000001</v>
      </c>
      <c r="J303">
        <v>11230</v>
      </c>
      <c r="K303" s="1">
        <v>9882.4000000000015</v>
      </c>
      <c r="L303" s="3">
        <f>(K303/I303)</f>
        <v>0.46808510638297873</v>
      </c>
      <c r="M303" s="2">
        <v>41579</v>
      </c>
      <c r="N303">
        <v>11</v>
      </c>
      <c r="O303" t="s">
        <v>18</v>
      </c>
      <c r="P303">
        <v>2013</v>
      </c>
    </row>
    <row r="304" spans="1:16" x14ac:dyDescent="0.25">
      <c r="A304" t="s">
        <v>14</v>
      </c>
      <c r="B304" t="s">
        <v>7</v>
      </c>
      <c r="C304" t="s">
        <v>2</v>
      </c>
      <c r="D304" t="s">
        <v>29</v>
      </c>
      <c r="E304">
        <v>250</v>
      </c>
      <c r="F304">
        <v>300</v>
      </c>
      <c r="G304">
        <v>730800</v>
      </c>
      <c r="H304">
        <v>43848</v>
      </c>
      <c r="I304" s="1">
        <v>686952</v>
      </c>
      <c r="J304">
        <v>609000</v>
      </c>
      <c r="K304" s="1">
        <v>77952</v>
      </c>
      <c r="L304" s="3">
        <f>(K304/I304)</f>
        <v>0.11347517730496454</v>
      </c>
      <c r="M304" s="2">
        <v>41609</v>
      </c>
      <c r="N304">
        <v>12</v>
      </c>
      <c r="O304" t="s">
        <v>17</v>
      </c>
      <c r="P304">
        <v>2013</v>
      </c>
    </row>
    <row r="305" spans="1:16" x14ac:dyDescent="0.25">
      <c r="A305" t="s">
        <v>20</v>
      </c>
      <c r="B305" t="s">
        <v>16</v>
      </c>
      <c r="C305" t="s">
        <v>13</v>
      </c>
      <c r="D305" t="s">
        <v>29</v>
      </c>
      <c r="E305">
        <v>260</v>
      </c>
      <c r="F305">
        <v>125</v>
      </c>
      <c r="G305">
        <v>248437.5</v>
      </c>
      <c r="H305">
        <v>14906.25</v>
      </c>
      <c r="I305" s="1">
        <v>233531.25</v>
      </c>
      <c r="J305">
        <v>238500</v>
      </c>
      <c r="K305" s="1">
        <v>-4968.75</v>
      </c>
      <c r="L305" s="3">
        <f>(K305/I305)</f>
        <v>-2.1276595744680851E-2</v>
      </c>
      <c r="M305" s="2">
        <v>41640</v>
      </c>
      <c r="N305">
        <v>1</v>
      </c>
      <c r="O305" t="s">
        <v>15</v>
      </c>
      <c r="P305">
        <v>2014</v>
      </c>
    </row>
    <row r="306" spans="1:16" x14ac:dyDescent="0.25">
      <c r="A306" t="s">
        <v>8</v>
      </c>
      <c r="B306" t="s">
        <v>11</v>
      </c>
      <c r="C306" t="s">
        <v>13</v>
      </c>
      <c r="D306" t="s">
        <v>29</v>
      </c>
      <c r="E306">
        <v>260</v>
      </c>
      <c r="F306">
        <v>350</v>
      </c>
      <c r="G306">
        <v>587650</v>
      </c>
      <c r="H306">
        <v>35259</v>
      </c>
      <c r="I306" s="1">
        <v>552391</v>
      </c>
      <c r="J306">
        <v>436540</v>
      </c>
      <c r="K306" s="1">
        <v>115851</v>
      </c>
      <c r="L306" s="3">
        <f>(K306/I306)</f>
        <v>0.20972644376899696</v>
      </c>
      <c r="M306" s="2">
        <v>41883</v>
      </c>
      <c r="N306">
        <v>9</v>
      </c>
      <c r="O306" t="s">
        <v>12</v>
      </c>
      <c r="P306">
        <v>2014</v>
      </c>
    </row>
    <row r="307" spans="1:16" x14ac:dyDescent="0.25">
      <c r="A307" t="s">
        <v>8</v>
      </c>
      <c r="B307" t="s">
        <v>3</v>
      </c>
      <c r="C307" t="s">
        <v>13</v>
      </c>
      <c r="D307" t="s">
        <v>29</v>
      </c>
      <c r="E307">
        <v>260</v>
      </c>
      <c r="F307">
        <v>350</v>
      </c>
      <c r="G307">
        <v>254450</v>
      </c>
      <c r="H307">
        <v>15267</v>
      </c>
      <c r="I307" s="1">
        <v>239183</v>
      </c>
      <c r="J307">
        <v>189020</v>
      </c>
      <c r="K307" s="1">
        <v>50163</v>
      </c>
      <c r="L307" s="3">
        <f>(K307/I307)</f>
        <v>0.20972644376899696</v>
      </c>
      <c r="M307" s="2">
        <v>41548</v>
      </c>
      <c r="N307">
        <v>10</v>
      </c>
      <c r="O307" t="s">
        <v>9</v>
      </c>
      <c r="P307">
        <v>2013</v>
      </c>
    </row>
    <row r="308" spans="1:16" x14ac:dyDescent="0.25">
      <c r="A308" t="s">
        <v>8</v>
      </c>
      <c r="B308" t="s">
        <v>16</v>
      </c>
      <c r="C308" t="s">
        <v>13</v>
      </c>
      <c r="D308" t="s">
        <v>29</v>
      </c>
      <c r="E308">
        <v>260</v>
      </c>
      <c r="F308">
        <v>7</v>
      </c>
      <c r="G308">
        <v>9821</v>
      </c>
      <c r="H308">
        <v>589.26</v>
      </c>
      <c r="I308" s="1">
        <v>9231.74</v>
      </c>
      <c r="J308">
        <v>7015</v>
      </c>
      <c r="K308" s="1">
        <v>2216.7399999999998</v>
      </c>
      <c r="L308" s="3">
        <f>(K308/I308)</f>
        <v>0.24012158054711244</v>
      </c>
      <c r="M308" s="2">
        <v>41548</v>
      </c>
      <c r="N308">
        <v>10</v>
      </c>
      <c r="O308" t="s">
        <v>5</v>
      </c>
      <c r="P308">
        <v>2013</v>
      </c>
    </row>
    <row r="309" spans="1:16" x14ac:dyDescent="0.25">
      <c r="A309" t="s">
        <v>8</v>
      </c>
      <c r="B309" t="s">
        <v>16</v>
      </c>
      <c r="C309" t="s">
        <v>13</v>
      </c>
      <c r="D309" t="s">
        <v>29</v>
      </c>
      <c r="E309">
        <v>260</v>
      </c>
      <c r="F309">
        <v>350</v>
      </c>
      <c r="G309">
        <v>726600</v>
      </c>
      <c r="H309">
        <v>43596</v>
      </c>
      <c r="I309" s="1">
        <v>683004</v>
      </c>
      <c r="J309">
        <v>539760</v>
      </c>
      <c r="K309" s="1">
        <v>143244</v>
      </c>
      <c r="L309" s="3">
        <f>(K309/I309)</f>
        <v>0.20972644376899696</v>
      </c>
      <c r="M309" s="2">
        <v>41548</v>
      </c>
      <c r="N309">
        <v>10</v>
      </c>
      <c r="O309" t="s">
        <v>0</v>
      </c>
      <c r="P309">
        <v>2013</v>
      </c>
    </row>
    <row r="310" spans="1:16" x14ac:dyDescent="0.25">
      <c r="A310" t="s">
        <v>8</v>
      </c>
      <c r="B310" t="s">
        <v>16</v>
      </c>
      <c r="C310" t="s">
        <v>10</v>
      </c>
      <c r="D310" t="s">
        <v>29</v>
      </c>
      <c r="E310">
        <v>5</v>
      </c>
      <c r="F310">
        <v>20</v>
      </c>
      <c r="G310">
        <v>35140</v>
      </c>
      <c r="H310">
        <v>2108.4</v>
      </c>
      <c r="I310" s="1">
        <v>33031.599999999999</v>
      </c>
      <c r="J310">
        <v>17570</v>
      </c>
      <c r="K310" s="1">
        <v>15461.599999999999</v>
      </c>
      <c r="L310" s="3">
        <f>(K310/I310)</f>
        <v>0.46808510638297868</v>
      </c>
      <c r="M310" s="2">
        <v>41548</v>
      </c>
      <c r="N310">
        <v>10</v>
      </c>
      <c r="O310" t="s">
        <v>26</v>
      </c>
      <c r="P310">
        <v>2013</v>
      </c>
    </row>
    <row r="311" spans="1:16" x14ac:dyDescent="0.25">
      <c r="A311" t="s">
        <v>23</v>
      </c>
      <c r="B311" t="s">
        <v>3</v>
      </c>
      <c r="C311" t="s">
        <v>6</v>
      </c>
      <c r="D311" t="s">
        <v>29</v>
      </c>
      <c r="E311">
        <v>10</v>
      </c>
      <c r="F311">
        <v>15</v>
      </c>
      <c r="G311">
        <v>32970</v>
      </c>
      <c r="H311">
        <v>1978.2</v>
      </c>
      <c r="I311" s="1">
        <v>30991.8</v>
      </c>
      <c r="J311">
        <v>21980</v>
      </c>
      <c r="K311" s="1">
        <v>9011.7999999999993</v>
      </c>
      <c r="L311" s="3">
        <f>(K311/I311)</f>
        <v>0.29078014184397161</v>
      </c>
      <c r="M311" s="2">
        <v>41852</v>
      </c>
      <c r="N311">
        <v>8</v>
      </c>
      <c r="O311" t="s">
        <v>25</v>
      </c>
      <c r="P311">
        <v>2014</v>
      </c>
    </row>
    <row r="312" spans="1:16" x14ac:dyDescent="0.25">
      <c r="A312" t="s">
        <v>23</v>
      </c>
      <c r="B312" t="s">
        <v>19</v>
      </c>
      <c r="C312" t="s">
        <v>6</v>
      </c>
      <c r="D312" t="s">
        <v>29</v>
      </c>
      <c r="E312">
        <v>10</v>
      </c>
      <c r="F312">
        <v>15</v>
      </c>
      <c r="G312">
        <v>26145</v>
      </c>
      <c r="H312">
        <v>1568.7</v>
      </c>
      <c r="I312" s="1">
        <v>24576.3</v>
      </c>
      <c r="J312">
        <v>17430</v>
      </c>
      <c r="K312" s="1">
        <v>7146.2999999999993</v>
      </c>
      <c r="L312" s="3">
        <f>(K312/I312)</f>
        <v>0.29078014184397161</v>
      </c>
      <c r="M312" s="2">
        <v>41852</v>
      </c>
      <c r="N312">
        <v>8</v>
      </c>
      <c r="O312" t="s">
        <v>24</v>
      </c>
      <c r="P312">
        <v>2014</v>
      </c>
    </row>
    <row r="313" spans="1:16" x14ac:dyDescent="0.25">
      <c r="A313" t="s">
        <v>23</v>
      </c>
      <c r="B313" t="s">
        <v>3</v>
      </c>
      <c r="C313" t="s">
        <v>6</v>
      </c>
      <c r="D313" t="s">
        <v>29</v>
      </c>
      <c r="E313">
        <v>10</v>
      </c>
      <c r="F313">
        <v>15</v>
      </c>
      <c r="G313">
        <v>17295</v>
      </c>
      <c r="H313">
        <v>1037.7</v>
      </c>
      <c r="I313" s="1">
        <v>16257.3</v>
      </c>
      <c r="J313">
        <v>11530</v>
      </c>
      <c r="K313" s="1">
        <v>4727.2999999999993</v>
      </c>
      <c r="L313" s="3">
        <f>(K313/I313)</f>
        <v>0.29078014184397161</v>
      </c>
      <c r="M313" s="2">
        <v>41913</v>
      </c>
      <c r="N313">
        <v>10</v>
      </c>
      <c r="O313" t="s">
        <v>22</v>
      </c>
      <c r="P313">
        <v>2014</v>
      </c>
    </row>
    <row r="314" spans="1:16" x14ac:dyDescent="0.25">
      <c r="A314" t="s">
        <v>8</v>
      </c>
      <c r="B314" t="s">
        <v>16</v>
      </c>
      <c r="C314" t="s">
        <v>6</v>
      </c>
      <c r="D314" t="s">
        <v>29</v>
      </c>
      <c r="E314">
        <v>10</v>
      </c>
      <c r="F314">
        <v>20</v>
      </c>
      <c r="G314">
        <v>35140</v>
      </c>
      <c r="H314">
        <v>2108.4</v>
      </c>
      <c r="I314" s="1">
        <v>33031.599999999999</v>
      </c>
      <c r="J314">
        <v>17570</v>
      </c>
      <c r="K314" s="1">
        <v>15461.599999999999</v>
      </c>
      <c r="L314" s="3">
        <f>(K314/I314)</f>
        <v>0.46808510638297868</v>
      </c>
      <c r="M314" s="2">
        <v>41548</v>
      </c>
      <c r="N314">
        <v>10</v>
      </c>
      <c r="O314" t="s">
        <v>21</v>
      </c>
      <c r="P314">
        <v>2013</v>
      </c>
    </row>
    <row r="315" spans="1:16" x14ac:dyDescent="0.25">
      <c r="A315" t="s">
        <v>8</v>
      </c>
      <c r="B315" t="s">
        <v>19</v>
      </c>
      <c r="C315" t="s">
        <v>27</v>
      </c>
      <c r="D315" t="s">
        <v>29</v>
      </c>
      <c r="E315">
        <v>120</v>
      </c>
      <c r="F315">
        <v>20</v>
      </c>
      <c r="G315">
        <v>20020</v>
      </c>
      <c r="H315">
        <v>1201.2</v>
      </c>
      <c r="I315" s="1">
        <v>18818.8</v>
      </c>
      <c r="J315">
        <v>10010</v>
      </c>
      <c r="K315" s="1">
        <v>8808.7999999999993</v>
      </c>
      <c r="L315" s="3">
        <f>(K315/I315)</f>
        <v>0.46808510638297868</v>
      </c>
      <c r="M315" s="2">
        <v>41852</v>
      </c>
      <c r="N315">
        <v>8</v>
      </c>
      <c r="O315" t="s">
        <v>18</v>
      </c>
      <c r="P315">
        <v>2014</v>
      </c>
    </row>
    <row r="316" spans="1:16" x14ac:dyDescent="0.25">
      <c r="A316" t="s">
        <v>8</v>
      </c>
      <c r="B316" t="s">
        <v>11</v>
      </c>
      <c r="C316" t="s">
        <v>27</v>
      </c>
      <c r="D316" t="s">
        <v>29</v>
      </c>
      <c r="E316">
        <v>120</v>
      </c>
      <c r="F316">
        <v>7</v>
      </c>
      <c r="G316">
        <v>9331</v>
      </c>
      <c r="H316">
        <v>559.86</v>
      </c>
      <c r="I316" s="1">
        <v>8771.14</v>
      </c>
      <c r="J316">
        <v>6665</v>
      </c>
      <c r="K316" s="1">
        <v>2106.1399999999994</v>
      </c>
      <c r="L316" s="3">
        <f>(K316/I316)</f>
        <v>0.24012158054711241</v>
      </c>
      <c r="M316" s="2">
        <v>41944</v>
      </c>
      <c r="N316">
        <v>11</v>
      </c>
      <c r="O316" t="s">
        <v>17</v>
      </c>
      <c r="P316">
        <v>2014</v>
      </c>
    </row>
    <row r="317" spans="1:16" x14ac:dyDescent="0.25">
      <c r="A317" t="s">
        <v>23</v>
      </c>
      <c r="B317" t="s">
        <v>3</v>
      </c>
      <c r="C317" t="s">
        <v>2</v>
      </c>
      <c r="D317" t="s">
        <v>29</v>
      </c>
      <c r="E317">
        <v>250</v>
      </c>
      <c r="F317">
        <v>15</v>
      </c>
      <c r="G317">
        <v>17295</v>
      </c>
      <c r="H317">
        <v>1037.7</v>
      </c>
      <c r="I317" s="1">
        <v>16257.3</v>
      </c>
      <c r="J317">
        <v>11530</v>
      </c>
      <c r="K317" s="1">
        <v>4727.2999999999993</v>
      </c>
      <c r="L317" s="3">
        <f>(K317/I317)</f>
        <v>0.29078014184397161</v>
      </c>
      <c r="M317" s="2">
        <v>41913</v>
      </c>
      <c r="N317">
        <v>10</v>
      </c>
      <c r="O317" t="s">
        <v>15</v>
      </c>
      <c r="P317">
        <v>2014</v>
      </c>
    </row>
    <row r="318" spans="1:16" x14ac:dyDescent="0.25">
      <c r="A318" t="s">
        <v>4</v>
      </c>
      <c r="B318" t="s">
        <v>11</v>
      </c>
      <c r="C318" t="s">
        <v>28</v>
      </c>
      <c r="D318" t="s">
        <v>29</v>
      </c>
      <c r="E318">
        <v>3</v>
      </c>
      <c r="F318">
        <v>12</v>
      </c>
      <c r="G318">
        <v>8724</v>
      </c>
      <c r="H318">
        <v>610.67999999999995</v>
      </c>
      <c r="I318" s="1">
        <v>8113.32</v>
      </c>
      <c r="J318">
        <v>2181</v>
      </c>
      <c r="K318" s="1">
        <v>5932.32</v>
      </c>
      <c r="L318" s="3">
        <f>(K318/I318)</f>
        <v>0.73118279569892475</v>
      </c>
      <c r="M318" s="2">
        <v>41671</v>
      </c>
      <c r="N318">
        <v>2</v>
      </c>
      <c r="O318" t="s">
        <v>12</v>
      </c>
      <c r="P318">
        <v>2014</v>
      </c>
    </row>
    <row r="319" spans="1:16" x14ac:dyDescent="0.25">
      <c r="A319" t="s">
        <v>4</v>
      </c>
      <c r="B319" t="s">
        <v>7</v>
      </c>
      <c r="C319" t="s">
        <v>28</v>
      </c>
      <c r="D319" t="s">
        <v>29</v>
      </c>
      <c r="E319">
        <v>3</v>
      </c>
      <c r="F319">
        <v>12</v>
      </c>
      <c r="G319">
        <v>22608</v>
      </c>
      <c r="H319">
        <v>1582.56</v>
      </c>
      <c r="I319" s="1">
        <v>21025.439999999999</v>
      </c>
      <c r="J319">
        <v>5652</v>
      </c>
      <c r="K319" s="1">
        <v>15373.439999999999</v>
      </c>
      <c r="L319" s="3">
        <f>(K319/I319)</f>
        <v>0.73118279569892475</v>
      </c>
      <c r="M319" s="2">
        <v>41852</v>
      </c>
      <c r="N319">
        <v>8</v>
      </c>
      <c r="O319" t="s">
        <v>9</v>
      </c>
      <c r="P319">
        <v>2014</v>
      </c>
    </row>
    <row r="320" spans="1:16" x14ac:dyDescent="0.25">
      <c r="A320" t="s">
        <v>8</v>
      </c>
      <c r="B320" t="s">
        <v>11</v>
      </c>
      <c r="C320" t="s">
        <v>28</v>
      </c>
      <c r="D320" t="s">
        <v>29</v>
      </c>
      <c r="E320">
        <v>3</v>
      </c>
      <c r="F320">
        <v>20</v>
      </c>
      <c r="G320">
        <v>36680</v>
      </c>
      <c r="H320">
        <v>2567.6</v>
      </c>
      <c r="I320" s="1">
        <v>34112.400000000001</v>
      </c>
      <c r="J320">
        <v>18340</v>
      </c>
      <c r="K320" s="1">
        <v>15772.400000000001</v>
      </c>
      <c r="L320" s="3">
        <f>(K320/I320)</f>
        <v>0.4623655913978495</v>
      </c>
      <c r="M320" s="2">
        <v>41518</v>
      </c>
      <c r="N320">
        <v>9</v>
      </c>
      <c r="O320" t="s">
        <v>5</v>
      </c>
      <c r="P320">
        <v>2013</v>
      </c>
    </row>
    <row r="321" spans="1:16" x14ac:dyDescent="0.25">
      <c r="A321" t="s">
        <v>4</v>
      </c>
      <c r="B321" t="s">
        <v>11</v>
      </c>
      <c r="C321" t="s">
        <v>10</v>
      </c>
      <c r="D321" t="s">
        <v>29</v>
      </c>
      <c r="E321">
        <v>5</v>
      </c>
      <c r="F321">
        <v>12</v>
      </c>
      <c r="G321">
        <v>28080</v>
      </c>
      <c r="H321">
        <v>1965.6</v>
      </c>
      <c r="I321" s="1">
        <v>26114.400000000001</v>
      </c>
      <c r="J321">
        <v>7020</v>
      </c>
      <c r="K321" s="1">
        <v>19094.400000000001</v>
      </c>
      <c r="L321" s="3">
        <f>(K321/I321)</f>
        <v>0.73118279569892475</v>
      </c>
      <c r="M321" s="2">
        <v>41640</v>
      </c>
      <c r="N321">
        <v>1</v>
      </c>
      <c r="O321" t="s">
        <v>0</v>
      </c>
      <c r="P321">
        <v>2014</v>
      </c>
    </row>
    <row r="322" spans="1:16" x14ac:dyDescent="0.25">
      <c r="A322" t="s">
        <v>4</v>
      </c>
      <c r="B322" t="s">
        <v>16</v>
      </c>
      <c r="C322" t="s">
        <v>10</v>
      </c>
      <c r="D322" t="s">
        <v>29</v>
      </c>
      <c r="E322">
        <v>5</v>
      </c>
      <c r="F322">
        <v>12</v>
      </c>
      <c r="G322">
        <v>28104</v>
      </c>
      <c r="H322">
        <v>1967.28</v>
      </c>
      <c r="I322" s="1">
        <v>26136.720000000001</v>
      </c>
      <c r="J322">
        <v>7026</v>
      </c>
      <c r="K322" s="1">
        <v>19110.72</v>
      </c>
      <c r="L322" s="3">
        <f>(K322/I322)</f>
        <v>0.73118279569892475</v>
      </c>
      <c r="M322" s="2">
        <v>41944</v>
      </c>
      <c r="N322">
        <v>11</v>
      </c>
      <c r="O322" t="s">
        <v>26</v>
      </c>
      <c r="P322">
        <v>2014</v>
      </c>
    </row>
    <row r="323" spans="1:16" x14ac:dyDescent="0.25">
      <c r="A323" t="s">
        <v>8</v>
      </c>
      <c r="B323" t="s">
        <v>16</v>
      </c>
      <c r="C323" t="s">
        <v>6</v>
      </c>
      <c r="D323" t="s">
        <v>29</v>
      </c>
      <c r="E323">
        <v>10</v>
      </c>
      <c r="F323">
        <v>7</v>
      </c>
      <c r="G323">
        <v>7217</v>
      </c>
      <c r="H323">
        <v>505.19</v>
      </c>
      <c r="I323" s="1">
        <v>6711.81</v>
      </c>
      <c r="J323">
        <v>5155</v>
      </c>
      <c r="K323" s="1">
        <v>1556.8100000000004</v>
      </c>
      <c r="L323" s="3">
        <f>(K323/I323)</f>
        <v>0.23195084485407072</v>
      </c>
      <c r="M323" s="2">
        <v>41518</v>
      </c>
      <c r="N323">
        <v>9</v>
      </c>
      <c r="O323" t="s">
        <v>25</v>
      </c>
      <c r="P323">
        <v>2013</v>
      </c>
    </row>
    <row r="324" spans="1:16" x14ac:dyDescent="0.25">
      <c r="A324" t="s">
        <v>23</v>
      </c>
      <c r="B324" t="s">
        <v>7</v>
      </c>
      <c r="C324" t="s">
        <v>27</v>
      </c>
      <c r="D324" t="s">
        <v>29</v>
      </c>
      <c r="E324">
        <v>120</v>
      </c>
      <c r="F324">
        <v>15</v>
      </c>
      <c r="G324">
        <v>18930</v>
      </c>
      <c r="H324">
        <v>1325.1</v>
      </c>
      <c r="I324" s="1">
        <v>17604.900000000001</v>
      </c>
      <c r="J324">
        <v>12620</v>
      </c>
      <c r="K324" s="1">
        <v>4984.9000000000015</v>
      </c>
      <c r="L324" s="3">
        <f>(K324/I324)</f>
        <v>0.28315412186379935</v>
      </c>
      <c r="M324" s="2">
        <v>41760</v>
      </c>
      <c r="N324">
        <v>5</v>
      </c>
      <c r="O324" t="s">
        <v>24</v>
      </c>
      <c r="P324">
        <v>2014</v>
      </c>
    </row>
    <row r="325" spans="1:16" x14ac:dyDescent="0.25">
      <c r="A325" t="s">
        <v>8</v>
      </c>
      <c r="B325" t="s">
        <v>7</v>
      </c>
      <c r="C325" t="s">
        <v>27</v>
      </c>
      <c r="D325" t="s">
        <v>29</v>
      </c>
      <c r="E325">
        <v>120</v>
      </c>
      <c r="F325">
        <v>7</v>
      </c>
      <c r="G325">
        <v>7945</v>
      </c>
      <c r="H325">
        <v>556.15</v>
      </c>
      <c r="I325" s="1">
        <v>7388.85</v>
      </c>
      <c r="J325">
        <v>5675</v>
      </c>
      <c r="K325" s="1">
        <v>1713.8500000000004</v>
      </c>
      <c r="L325" s="3">
        <f>(K325/I325)</f>
        <v>0.23195084485407069</v>
      </c>
      <c r="M325" s="2">
        <v>41791</v>
      </c>
      <c r="N325">
        <v>6</v>
      </c>
      <c r="O325" t="s">
        <v>22</v>
      </c>
      <c r="P325">
        <v>2014</v>
      </c>
    </row>
    <row r="326" spans="1:16" x14ac:dyDescent="0.25">
      <c r="A326" t="s">
        <v>8</v>
      </c>
      <c r="B326" t="s">
        <v>3</v>
      </c>
      <c r="C326" t="s">
        <v>27</v>
      </c>
      <c r="D326" t="s">
        <v>29</v>
      </c>
      <c r="E326">
        <v>120</v>
      </c>
      <c r="F326">
        <v>7</v>
      </c>
      <c r="G326">
        <v>3829</v>
      </c>
      <c r="H326">
        <v>268.02999999999997</v>
      </c>
      <c r="I326" s="1">
        <v>3560.9700000000003</v>
      </c>
      <c r="J326">
        <v>2735</v>
      </c>
      <c r="K326" s="1">
        <v>825.97000000000025</v>
      </c>
      <c r="L326" s="3">
        <f>(K326/I326)</f>
        <v>0.23195084485407072</v>
      </c>
      <c r="M326" s="2">
        <v>41944</v>
      </c>
      <c r="N326">
        <v>11</v>
      </c>
      <c r="O326" t="s">
        <v>21</v>
      </c>
      <c r="P326">
        <v>2014</v>
      </c>
    </row>
    <row r="327" spans="1:16" x14ac:dyDescent="0.25">
      <c r="A327" t="s">
        <v>8</v>
      </c>
      <c r="B327" t="s">
        <v>7</v>
      </c>
      <c r="C327" t="s">
        <v>27</v>
      </c>
      <c r="D327" t="s">
        <v>29</v>
      </c>
      <c r="E327">
        <v>120</v>
      </c>
      <c r="F327">
        <v>7</v>
      </c>
      <c r="G327">
        <v>11074</v>
      </c>
      <c r="H327">
        <v>775.18</v>
      </c>
      <c r="I327" s="1">
        <v>10298.82</v>
      </c>
      <c r="J327">
        <v>7910</v>
      </c>
      <c r="K327" s="1">
        <v>2388.8199999999997</v>
      </c>
      <c r="L327" s="3">
        <f>(K327/I327)</f>
        <v>0.23195084485407064</v>
      </c>
      <c r="M327" s="2">
        <v>41974</v>
      </c>
      <c r="N327">
        <v>12</v>
      </c>
      <c r="O327" t="s">
        <v>18</v>
      </c>
      <c r="P327">
        <v>2014</v>
      </c>
    </row>
    <row r="328" spans="1:16" x14ac:dyDescent="0.25">
      <c r="A328" t="s">
        <v>4</v>
      </c>
      <c r="B328" t="s">
        <v>16</v>
      </c>
      <c r="C328" t="s">
        <v>2</v>
      </c>
      <c r="D328" t="s">
        <v>29</v>
      </c>
      <c r="E328">
        <v>250</v>
      </c>
      <c r="F328">
        <v>12</v>
      </c>
      <c r="G328">
        <v>20862</v>
      </c>
      <c r="H328">
        <v>1460.34</v>
      </c>
      <c r="I328" s="1">
        <v>19401.66</v>
      </c>
      <c r="J328">
        <v>5215.5</v>
      </c>
      <c r="K328" s="1">
        <v>14186.16</v>
      </c>
      <c r="L328" s="3">
        <f>(K328/I328)</f>
        <v>0.73118279569892475</v>
      </c>
      <c r="M328" s="2">
        <v>41730</v>
      </c>
      <c r="N328">
        <v>4</v>
      </c>
      <c r="O328" t="s">
        <v>17</v>
      </c>
      <c r="P328">
        <v>2014</v>
      </c>
    </row>
    <row r="329" spans="1:16" x14ac:dyDescent="0.25">
      <c r="A329" t="s">
        <v>4</v>
      </c>
      <c r="B329" t="s">
        <v>19</v>
      </c>
      <c r="C329" t="s">
        <v>2</v>
      </c>
      <c r="D329" t="s">
        <v>29</v>
      </c>
      <c r="E329">
        <v>250</v>
      </c>
      <c r="F329">
        <v>12</v>
      </c>
      <c r="G329">
        <v>26580</v>
      </c>
      <c r="H329">
        <v>1860.6</v>
      </c>
      <c r="I329" s="1">
        <v>24719.4</v>
      </c>
      <c r="J329">
        <v>6645</v>
      </c>
      <c r="K329" s="1">
        <v>18074.400000000001</v>
      </c>
      <c r="L329" s="3">
        <f>(K329/I329)</f>
        <v>0.73118279569892475</v>
      </c>
      <c r="M329" s="2">
        <v>41518</v>
      </c>
      <c r="N329">
        <v>9</v>
      </c>
      <c r="O329" t="s">
        <v>15</v>
      </c>
      <c r="P329">
        <v>2013</v>
      </c>
    </row>
    <row r="330" spans="1:16" x14ac:dyDescent="0.25">
      <c r="A330" t="s">
        <v>8</v>
      </c>
      <c r="B330" t="s">
        <v>7</v>
      </c>
      <c r="C330" t="s">
        <v>2</v>
      </c>
      <c r="D330" t="s">
        <v>29</v>
      </c>
      <c r="E330">
        <v>250</v>
      </c>
      <c r="F330">
        <v>7</v>
      </c>
      <c r="G330">
        <v>11074</v>
      </c>
      <c r="H330">
        <v>775.18</v>
      </c>
      <c r="I330" s="1">
        <v>10298.82</v>
      </c>
      <c r="J330">
        <v>7910</v>
      </c>
      <c r="K330" s="1">
        <v>2388.8199999999997</v>
      </c>
      <c r="L330" s="3">
        <f>(K330/I330)</f>
        <v>0.23195084485407064</v>
      </c>
      <c r="M330" s="2">
        <v>41974</v>
      </c>
      <c r="N330">
        <v>12</v>
      </c>
      <c r="O330" t="s">
        <v>12</v>
      </c>
      <c r="P330">
        <v>2014</v>
      </c>
    </row>
    <row r="331" spans="1:16" x14ac:dyDescent="0.25">
      <c r="A331" t="s">
        <v>8</v>
      </c>
      <c r="B331" t="s">
        <v>7</v>
      </c>
      <c r="C331" t="s">
        <v>13</v>
      </c>
      <c r="D331" t="s">
        <v>29</v>
      </c>
      <c r="E331">
        <v>260</v>
      </c>
      <c r="F331">
        <v>7</v>
      </c>
      <c r="G331">
        <v>7945</v>
      </c>
      <c r="H331">
        <v>556.15</v>
      </c>
      <c r="I331" s="1">
        <v>7388.85</v>
      </c>
      <c r="J331">
        <v>5675</v>
      </c>
      <c r="K331" s="1">
        <v>1713.8500000000004</v>
      </c>
      <c r="L331" s="3">
        <f>(K331/I331)</f>
        <v>0.23195084485407069</v>
      </c>
      <c r="M331" s="2">
        <v>41791</v>
      </c>
      <c r="N331">
        <v>6</v>
      </c>
      <c r="O331" t="s">
        <v>9</v>
      </c>
      <c r="P331">
        <v>2014</v>
      </c>
    </row>
    <row r="332" spans="1:16" x14ac:dyDescent="0.25">
      <c r="A332" t="s">
        <v>8</v>
      </c>
      <c r="B332" t="s">
        <v>3</v>
      </c>
      <c r="C332" t="s">
        <v>28</v>
      </c>
      <c r="D332" t="s">
        <v>29</v>
      </c>
      <c r="E332">
        <v>3</v>
      </c>
      <c r="F332">
        <v>350</v>
      </c>
      <c r="G332">
        <v>616350</v>
      </c>
      <c r="H332">
        <v>43144.5</v>
      </c>
      <c r="I332" s="1">
        <v>573205.5</v>
      </c>
      <c r="J332">
        <v>457860</v>
      </c>
      <c r="K332" s="1">
        <v>115345.5</v>
      </c>
      <c r="L332" s="3">
        <f>(K332/I332)</f>
        <v>0.20122887864823349</v>
      </c>
      <c r="M332" s="2">
        <v>41699</v>
      </c>
      <c r="N332">
        <v>3</v>
      </c>
      <c r="O332" t="s">
        <v>5</v>
      </c>
      <c r="P332">
        <v>2014</v>
      </c>
    </row>
    <row r="333" spans="1:16" x14ac:dyDescent="0.25">
      <c r="A333" t="s">
        <v>14</v>
      </c>
      <c r="B333" t="s">
        <v>16</v>
      </c>
      <c r="C333" t="s">
        <v>28</v>
      </c>
      <c r="D333" t="s">
        <v>29</v>
      </c>
      <c r="E333">
        <v>3</v>
      </c>
      <c r="F333">
        <v>300</v>
      </c>
      <c r="G333">
        <v>134400</v>
      </c>
      <c r="H333">
        <v>9408</v>
      </c>
      <c r="I333" s="1">
        <v>124992</v>
      </c>
      <c r="J333">
        <v>112000</v>
      </c>
      <c r="K333" s="1">
        <v>12992</v>
      </c>
      <c r="L333" s="3">
        <f>(K333/I333)</f>
        <v>0.1039426523297491</v>
      </c>
      <c r="M333" s="2">
        <v>41791</v>
      </c>
      <c r="N333">
        <v>6</v>
      </c>
      <c r="O333" t="s">
        <v>0</v>
      </c>
      <c r="P333">
        <v>2014</v>
      </c>
    </row>
    <row r="334" spans="1:16" x14ac:dyDescent="0.25">
      <c r="A334" t="s">
        <v>14</v>
      </c>
      <c r="B334" t="s">
        <v>16</v>
      </c>
      <c r="C334" t="s">
        <v>28</v>
      </c>
      <c r="D334" t="s">
        <v>29</v>
      </c>
      <c r="E334">
        <v>3</v>
      </c>
      <c r="F334">
        <v>300</v>
      </c>
      <c r="G334">
        <v>654300</v>
      </c>
      <c r="H334">
        <v>45801</v>
      </c>
      <c r="I334" s="1">
        <v>608499</v>
      </c>
      <c r="J334">
        <v>545250</v>
      </c>
      <c r="K334" s="1">
        <v>63249</v>
      </c>
      <c r="L334" s="3">
        <f>(K334/I334)</f>
        <v>0.1039426523297491</v>
      </c>
      <c r="M334" s="2">
        <v>41913</v>
      </c>
      <c r="N334">
        <v>10</v>
      </c>
      <c r="O334" t="s">
        <v>26</v>
      </c>
      <c r="P334">
        <v>2014</v>
      </c>
    </row>
    <row r="335" spans="1:16" x14ac:dyDescent="0.25">
      <c r="A335" t="s">
        <v>8</v>
      </c>
      <c r="B335" t="s">
        <v>16</v>
      </c>
      <c r="C335" t="s">
        <v>10</v>
      </c>
      <c r="D335" t="s">
        <v>29</v>
      </c>
      <c r="E335">
        <v>5</v>
      </c>
      <c r="F335">
        <v>20</v>
      </c>
      <c r="G335">
        <v>39520</v>
      </c>
      <c r="H335">
        <v>2766.4</v>
      </c>
      <c r="I335" s="1">
        <v>36753.599999999999</v>
      </c>
      <c r="J335">
        <v>19760</v>
      </c>
      <c r="K335" s="1">
        <v>16993.599999999999</v>
      </c>
      <c r="L335" s="3">
        <f>(K335/I335)</f>
        <v>0.46236559139784944</v>
      </c>
      <c r="M335" s="2">
        <v>41913</v>
      </c>
      <c r="N335">
        <v>10</v>
      </c>
      <c r="O335" t="s">
        <v>25</v>
      </c>
      <c r="P335">
        <v>2014</v>
      </c>
    </row>
    <row r="336" spans="1:16" x14ac:dyDescent="0.25">
      <c r="A336" t="s">
        <v>14</v>
      </c>
      <c r="B336" t="s">
        <v>16</v>
      </c>
      <c r="C336" t="s">
        <v>10</v>
      </c>
      <c r="D336" t="s">
        <v>29</v>
      </c>
      <c r="E336">
        <v>5</v>
      </c>
      <c r="F336">
        <v>300</v>
      </c>
      <c r="G336">
        <v>654300</v>
      </c>
      <c r="H336">
        <v>45801</v>
      </c>
      <c r="I336" s="1">
        <v>608499</v>
      </c>
      <c r="J336">
        <v>545250</v>
      </c>
      <c r="K336" s="1">
        <v>63249</v>
      </c>
      <c r="L336" s="3">
        <f>(K336/I336)</f>
        <v>0.1039426523297491</v>
      </c>
      <c r="M336" s="2">
        <v>41913</v>
      </c>
      <c r="N336">
        <v>10</v>
      </c>
      <c r="O336" t="s">
        <v>24</v>
      </c>
      <c r="P336">
        <v>2014</v>
      </c>
    </row>
    <row r="337" spans="1:16" x14ac:dyDescent="0.25">
      <c r="A337" t="s">
        <v>20</v>
      </c>
      <c r="B337" t="s">
        <v>19</v>
      </c>
      <c r="C337" t="s">
        <v>10</v>
      </c>
      <c r="D337" t="s">
        <v>29</v>
      </c>
      <c r="E337">
        <v>5</v>
      </c>
      <c r="F337">
        <v>125</v>
      </c>
      <c r="G337">
        <v>312500</v>
      </c>
      <c r="H337">
        <v>21875</v>
      </c>
      <c r="I337" s="1">
        <v>290625</v>
      </c>
      <c r="J337">
        <v>300000</v>
      </c>
      <c r="K337" s="1">
        <v>-9375</v>
      </c>
      <c r="L337" s="3">
        <f>(K337/I337)</f>
        <v>-3.2258064516129031E-2</v>
      </c>
      <c r="M337" s="2">
        <v>41579</v>
      </c>
      <c r="N337">
        <v>11</v>
      </c>
      <c r="O337" t="s">
        <v>22</v>
      </c>
      <c r="P337">
        <v>2013</v>
      </c>
    </row>
    <row r="338" spans="1:16" x14ac:dyDescent="0.25">
      <c r="A338" t="s">
        <v>14</v>
      </c>
      <c r="B338" t="s">
        <v>7</v>
      </c>
      <c r="C338" t="s">
        <v>6</v>
      </c>
      <c r="D338" t="s">
        <v>29</v>
      </c>
      <c r="E338">
        <v>10</v>
      </c>
      <c r="F338">
        <v>300</v>
      </c>
      <c r="G338">
        <v>510600</v>
      </c>
      <c r="H338">
        <v>35742</v>
      </c>
      <c r="I338" s="1">
        <v>474858</v>
      </c>
      <c r="J338">
        <v>425500</v>
      </c>
      <c r="K338" s="1">
        <v>49358</v>
      </c>
      <c r="L338" s="3">
        <f>(K338/I338)</f>
        <v>0.1039426523297491</v>
      </c>
      <c r="M338" s="2">
        <v>41760</v>
      </c>
      <c r="N338">
        <v>5</v>
      </c>
      <c r="O338" t="s">
        <v>21</v>
      </c>
      <c r="P338">
        <v>2014</v>
      </c>
    </row>
    <row r="339" spans="1:16" x14ac:dyDescent="0.25">
      <c r="A339" t="s">
        <v>14</v>
      </c>
      <c r="B339" t="s">
        <v>16</v>
      </c>
      <c r="C339" t="s">
        <v>6</v>
      </c>
      <c r="D339" t="s">
        <v>29</v>
      </c>
      <c r="E339">
        <v>10</v>
      </c>
      <c r="F339">
        <v>300</v>
      </c>
      <c r="G339">
        <v>134400</v>
      </c>
      <c r="H339">
        <v>9408</v>
      </c>
      <c r="I339" s="1">
        <v>124992</v>
      </c>
      <c r="J339">
        <v>112000</v>
      </c>
      <c r="K339" s="1">
        <v>12992</v>
      </c>
      <c r="L339" s="3">
        <f>(K339/I339)</f>
        <v>0.1039426523297491</v>
      </c>
      <c r="M339" s="2">
        <v>41791</v>
      </c>
      <c r="N339">
        <v>6</v>
      </c>
      <c r="O339" t="s">
        <v>18</v>
      </c>
      <c r="P339">
        <v>2014</v>
      </c>
    </row>
    <row r="340" spans="1:16" x14ac:dyDescent="0.25">
      <c r="A340" t="s">
        <v>20</v>
      </c>
      <c r="B340" t="s">
        <v>19</v>
      </c>
      <c r="C340" t="s">
        <v>6</v>
      </c>
      <c r="D340" t="s">
        <v>29</v>
      </c>
      <c r="E340">
        <v>10</v>
      </c>
      <c r="F340">
        <v>125</v>
      </c>
      <c r="G340">
        <v>439125</v>
      </c>
      <c r="H340">
        <v>30738.75</v>
      </c>
      <c r="I340" s="1">
        <v>408386.25</v>
      </c>
      <c r="J340">
        <v>421560</v>
      </c>
      <c r="K340" s="1">
        <v>-13173.75</v>
      </c>
      <c r="L340" s="3">
        <f>(K340/I340)</f>
        <v>-3.2258064516129031E-2</v>
      </c>
      <c r="M340" s="2">
        <v>41821</v>
      </c>
      <c r="N340">
        <v>7</v>
      </c>
      <c r="O340" t="s">
        <v>17</v>
      </c>
      <c r="P340">
        <v>2014</v>
      </c>
    </row>
    <row r="341" spans="1:16" x14ac:dyDescent="0.25">
      <c r="A341" t="s">
        <v>23</v>
      </c>
      <c r="B341" t="s">
        <v>16</v>
      </c>
      <c r="C341" t="s">
        <v>6</v>
      </c>
      <c r="D341" t="s">
        <v>29</v>
      </c>
      <c r="E341">
        <v>10</v>
      </c>
      <c r="F341">
        <v>15</v>
      </c>
      <c r="G341">
        <v>31515</v>
      </c>
      <c r="H341">
        <v>2206.0500000000002</v>
      </c>
      <c r="I341" s="1">
        <v>29308.95</v>
      </c>
      <c r="J341">
        <v>21010</v>
      </c>
      <c r="K341" s="1">
        <v>8298.9500000000007</v>
      </c>
      <c r="L341" s="3">
        <f>(K341/I341)</f>
        <v>0.28315412186379929</v>
      </c>
      <c r="M341" s="2">
        <v>41852</v>
      </c>
      <c r="N341">
        <v>8</v>
      </c>
      <c r="O341" t="s">
        <v>15</v>
      </c>
      <c r="P341">
        <v>2014</v>
      </c>
    </row>
    <row r="342" spans="1:16" x14ac:dyDescent="0.25">
      <c r="A342" t="s">
        <v>23</v>
      </c>
      <c r="B342" t="s">
        <v>3</v>
      </c>
      <c r="C342" t="s">
        <v>6</v>
      </c>
      <c r="D342" t="s">
        <v>29</v>
      </c>
      <c r="E342">
        <v>10</v>
      </c>
      <c r="F342">
        <v>15</v>
      </c>
      <c r="G342">
        <v>43965</v>
      </c>
      <c r="H342">
        <v>3077.55</v>
      </c>
      <c r="I342" s="1">
        <v>40887.449999999997</v>
      </c>
      <c r="J342">
        <v>29310</v>
      </c>
      <c r="K342" s="1">
        <v>11577.449999999997</v>
      </c>
      <c r="L342" s="3">
        <f>(K342/I342)</f>
        <v>0.28315412186379924</v>
      </c>
      <c r="M342" s="2">
        <v>41518</v>
      </c>
      <c r="N342">
        <v>9</v>
      </c>
      <c r="O342" t="s">
        <v>12</v>
      </c>
      <c r="P342">
        <v>2013</v>
      </c>
    </row>
    <row r="343" spans="1:16" x14ac:dyDescent="0.25">
      <c r="A343" t="s">
        <v>8</v>
      </c>
      <c r="B343" t="s">
        <v>16</v>
      </c>
      <c r="C343" t="s">
        <v>6</v>
      </c>
      <c r="D343" t="s">
        <v>29</v>
      </c>
      <c r="E343">
        <v>10</v>
      </c>
      <c r="F343">
        <v>20</v>
      </c>
      <c r="G343">
        <v>30700</v>
      </c>
      <c r="H343">
        <v>2149</v>
      </c>
      <c r="I343" s="1">
        <v>28551</v>
      </c>
      <c r="J343">
        <v>15350</v>
      </c>
      <c r="K343" s="1">
        <v>13201</v>
      </c>
      <c r="L343" s="3">
        <f>(K343/I343)</f>
        <v>0.46236559139784944</v>
      </c>
      <c r="M343" s="2">
        <v>41883</v>
      </c>
      <c r="N343">
        <v>9</v>
      </c>
      <c r="O343" t="s">
        <v>9</v>
      </c>
      <c r="P343">
        <v>2014</v>
      </c>
    </row>
    <row r="344" spans="1:16" x14ac:dyDescent="0.25">
      <c r="A344" t="s">
        <v>14</v>
      </c>
      <c r="B344" t="s">
        <v>19</v>
      </c>
      <c r="C344" t="s">
        <v>6</v>
      </c>
      <c r="D344" t="s">
        <v>29</v>
      </c>
      <c r="E344">
        <v>10</v>
      </c>
      <c r="F344">
        <v>300</v>
      </c>
      <c r="G344">
        <v>336900</v>
      </c>
      <c r="H344">
        <v>23583</v>
      </c>
      <c r="I344" s="1">
        <v>313317</v>
      </c>
      <c r="J344">
        <v>280750</v>
      </c>
      <c r="K344" s="1">
        <v>32567</v>
      </c>
      <c r="L344" s="3">
        <f>(K344/I344)</f>
        <v>0.1039426523297491</v>
      </c>
      <c r="M344" s="2">
        <v>41518</v>
      </c>
      <c r="N344">
        <v>9</v>
      </c>
      <c r="O344" t="s">
        <v>5</v>
      </c>
      <c r="P344">
        <v>2013</v>
      </c>
    </row>
    <row r="345" spans="1:16" x14ac:dyDescent="0.25">
      <c r="A345" t="s">
        <v>14</v>
      </c>
      <c r="B345" t="s">
        <v>7</v>
      </c>
      <c r="C345" t="s">
        <v>6</v>
      </c>
      <c r="D345" t="s">
        <v>29</v>
      </c>
      <c r="E345">
        <v>10</v>
      </c>
      <c r="F345">
        <v>300</v>
      </c>
      <c r="G345">
        <v>421200</v>
      </c>
      <c r="H345">
        <v>29484</v>
      </c>
      <c r="I345" s="1">
        <v>391716</v>
      </c>
      <c r="J345">
        <v>351000</v>
      </c>
      <c r="K345" s="1">
        <v>40716</v>
      </c>
      <c r="L345" s="3">
        <f>(K345/I345)</f>
        <v>0.1039426523297491</v>
      </c>
      <c r="M345" s="2">
        <v>41579</v>
      </c>
      <c r="N345">
        <v>11</v>
      </c>
      <c r="O345" t="s">
        <v>0</v>
      </c>
      <c r="P345">
        <v>2013</v>
      </c>
    </row>
    <row r="346" spans="1:16" x14ac:dyDescent="0.25">
      <c r="A346" t="s">
        <v>4</v>
      </c>
      <c r="B346" t="s">
        <v>11</v>
      </c>
      <c r="C346" t="s">
        <v>6</v>
      </c>
      <c r="D346" t="s">
        <v>29</v>
      </c>
      <c r="E346">
        <v>10</v>
      </c>
      <c r="F346">
        <v>12</v>
      </c>
      <c r="G346">
        <v>33156</v>
      </c>
      <c r="H346">
        <v>2320.92</v>
      </c>
      <c r="I346" s="1">
        <v>30835.08</v>
      </c>
      <c r="J346">
        <v>8289</v>
      </c>
      <c r="K346" s="1">
        <v>22546.080000000002</v>
      </c>
      <c r="L346" s="3">
        <f>(K346/I346)</f>
        <v>0.73118279569892475</v>
      </c>
      <c r="M346" s="2">
        <v>41579</v>
      </c>
      <c r="N346">
        <v>11</v>
      </c>
      <c r="O346" t="s">
        <v>26</v>
      </c>
      <c r="P346">
        <v>2013</v>
      </c>
    </row>
    <row r="347" spans="1:16" x14ac:dyDescent="0.25">
      <c r="A347" t="s">
        <v>8</v>
      </c>
      <c r="B347" t="s">
        <v>19</v>
      </c>
      <c r="C347" t="s">
        <v>6</v>
      </c>
      <c r="D347" t="s">
        <v>29</v>
      </c>
      <c r="E347">
        <v>10</v>
      </c>
      <c r="F347">
        <v>7</v>
      </c>
      <c r="G347">
        <v>14875</v>
      </c>
      <c r="H347">
        <v>1041.25</v>
      </c>
      <c r="I347" s="1">
        <v>13833.75</v>
      </c>
      <c r="J347">
        <v>10625</v>
      </c>
      <c r="K347" s="1">
        <v>3208.75</v>
      </c>
      <c r="L347" s="3">
        <f>(K347/I347)</f>
        <v>0.23195084485407066</v>
      </c>
      <c r="M347" s="2">
        <v>41609</v>
      </c>
      <c r="N347">
        <v>12</v>
      </c>
      <c r="O347" t="s">
        <v>25</v>
      </c>
      <c r="P347">
        <v>2013</v>
      </c>
    </row>
    <row r="348" spans="1:16" x14ac:dyDescent="0.25">
      <c r="A348" t="s">
        <v>14</v>
      </c>
      <c r="B348" t="s">
        <v>16</v>
      </c>
      <c r="C348" t="s">
        <v>27</v>
      </c>
      <c r="D348" t="s">
        <v>29</v>
      </c>
      <c r="E348">
        <v>120</v>
      </c>
      <c r="F348">
        <v>300</v>
      </c>
      <c r="G348">
        <v>497700</v>
      </c>
      <c r="H348">
        <v>34839</v>
      </c>
      <c r="I348" s="1">
        <v>462861</v>
      </c>
      <c r="J348">
        <v>414750</v>
      </c>
      <c r="K348" s="1">
        <v>48111</v>
      </c>
      <c r="L348" s="3">
        <f>(K348/I348)</f>
        <v>0.1039426523297491</v>
      </c>
      <c r="M348" s="2">
        <v>41821</v>
      </c>
      <c r="N348">
        <v>7</v>
      </c>
      <c r="O348" t="s">
        <v>24</v>
      </c>
      <c r="P348">
        <v>2014</v>
      </c>
    </row>
    <row r="349" spans="1:16" x14ac:dyDescent="0.25">
      <c r="A349" t="s">
        <v>8</v>
      </c>
      <c r="B349" t="s">
        <v>11</v>
      </c>
      <c r="C349" t="s">
        <v>27</v>
      </c>
      <c r="D349" t="s">
        <v>29</v>
      </c>
      <c r="E349">
        <v>120</v>
      </c>
      <c r="F349">
        <v>20</v>
      </c>
      <c r="G349">
        <v>12180</v>
      </c>
      <c r="H349">
        <v>852.6</v>
      </c>
      <c r="I349" s="1">
        <v>11327.4</v>
      </c>
      <c r="J349">
        <v>6090</v>
      </c>
      <c r="K349" s="1">
        <v>5237.3999999999996</v>
      </c>
      <c r="L349" s="3">
        <f>(K349/I349)</f>
        <v>0.46236559139784944</v>
      </c>
      <c r="M349" s="2">
        <v>41852</v>
      </c>
      <c r="N349">
        <v>8</v>
      </c>
      <c r="O349" t="s">
        <v>22</v>
      </c>
      <c r="P349">
        <v>2014</v>
      </c>
    </row>
    <row r="350" spans="1:16" x14ac:dyDescent="0.25">
      <c r="A350" t="s">
        <v>20</v>
      </c>
      <c r="B350" t="s">
        <v>19</v>
      </c>
      <c r="C350" t="s">
        <v>27</v>
      </c>
      <c r="D350" t="s">
        <v>29</v>
      </c>
      <c r="E350">
        <v>120</v>
      </c>
      <c r="F350">
        <v>125</v>
      </c>
      <c r="G350">
        <v>260875</v>
      </c>
      <c r="H350">
        <v>18261.25</v>
      </c>
      <c r="I350" s="1">
        <v>242613.75</v>
      </c>
      <c r="J350">
        <v>250440</v>
      </c>
      <c r="K350" s="1">
        <v>-7826.25</v>
      </c>
      <c r="L350" s="3">
        <f>(K350/I350)</f>
        <v>-3.2258064516129031E-2</v>
      </c>
      <c r="M350" s="2">
        <v>41883</v>
      </c>
      <c r="N350">
        <v>9</v>
      </c>
      <c r="O350" t="s">
        <v>21</v>
      </c>
      <c r="P350">
        <v>2014</v>
      </c>
    </row>
    <row r="351" spans="1:16" x14ac:dyDescent="0.25">
      <c r="A351" t="s">
        <v>8</v>
      </c>
      <c r="B351" t="s">
        <v>16</v>
      </c>
      <c r="C351" t="s">
        <v>27</v>
      </c>
      <c r="D351" t="s">
        <v>29</v>
      </c>
      <c r="E351">
        <v>120</v>
      </c>
      <c r="F351">
        <v>20</v>
      </c>
      <c r="G351">
        <v>39520</v>
      </c>
      <c r="H351">
        <v>2766.4</v>
      </c>
      <c r="I351" s="1">
        <v>36753.599999999999</v>
      </c>
      <c r="J351">
        <v>19760</v>
      </c>
      <c r="K351" s="1">
        <v>16993.599999999999</v>
      </c>
      <c r="L351" s="3">
        <f>(K351/I351)</f>
        <v>0.46236559139784944</v>
      </c>
      <c r="M351" s="2">
        <v>41913</v>
      </c>
      <c r="N351">
        <v>10</v>
      </c>
      <c r="O351" t="s">
        <v>18</v>
      </c>
      <c r="P351">
        <v>2014</v>
      </c>
    </row>
    <row r="352" spans="1:16" x14ac:dyDescent="0.25">
      <c r="A352" t="s">
        <v>8</v>
      </c>
      <c r="B352" t="s">
        <v>3</v>
      </c>
      <c r="C352" t="s">
        <v>27</v>
      </c>
      <c r="D352" t="s">
        <v>29</v>
      </c>
      <c r="E352">
        <v>120</v>
      </c>
      <c r="F352">
        <v>20</v>
      </c>
      <c r="G352">
        <v>28420</v>
      </c>
      <c r="H352">
        <v>1989.4</v>
      </c>
      <c r="I352" s="1">
        <v>26430.6</v>
      </c>
      <c r="J352">
        <v>14210</v>
      </c>
      <c r="K352" s="1">
        <v>12220.599999999999</v>
      </c>
      <c r="L352" s="3">
        <f>(K352/I352)</f>
        <v>0.46236559139784944</v>
      </c>
      <c r="M352" s="2">
        <v>41609</v>
      </c>
      <c r="N352">
        <v>12</v>
      </c>
      <c r="O352" t="s">
        <v>17</v>
      </c>
      <c r="P352">
        <v>2013</v>
      </c>
    </row>
    <row r="353" spans="1:16" x14ac:dyDescent="0.25">
      <c r="A353" t="s">
        <v>14</v>
      </c>
      <c r="B353" t="s">
        <v>3</v>
      </c>
      <c r="C353" t="s">
        <v>27</v>
      </c>
      <c r="D353" t="s">
        <v>29</v>
      </c>
      <c r="E353">
        <v>120</v>
      </c>
      <c r="F353">
        <v>300</v>
      </c>
      <c r="G353">
        <v>411600</v>
      </c>
      <c r="H353">
        <v>28812</v>
      </c>
      <c r="I353" s="1">
        <v>382788</v>
      </c>
      <c r="J353">
        <v>343000</v>
      </c>
      <c r="K353" s="1">
        <v>39788</v>
      </c>
      <c r="L353" s="3">
        <f>(K353/I353)</f>
        <v>0.1039426523297491</v>
      </c>
      <c r="M353" s="2">
        <v>41974</v>
      </c>
      <c r="N353">
        <v>12</v>
      </c>
      <c r="O353" t="s">
        <v>15</v>
      </c>
      <c r="P353">
        <v>2014</v>
      </c>
    </row>
    <row r="354" spans="1:16" x14ac:dyDescent="0.25">
      <c r="A354" t="s">
        <v>8</v>
      </c>
      <c r="B354" t="s">
        <v>19</v>
      </c>
      <c r="C354" t="s">
        <v>27</v>
      </c>
      <c r="D354" t="s">
        <v>29</v>
      </c>
      <c r="E354">
        <v>120</v>
      </c>
      <c r="F354">
        <v>20</v>
      </c>
      <c r="G354">
        <v>11760</v>
      </c>
      <c r="H354">
        <v>823.2</v>
      </c>
      <c r="I354" s="1">
        <v>10936.8</v>
      </c>
      <c r="J354">
        <v>5880</v>
      </c>
      <c r="K354" s="1">
        <v>5056.7999999999993</v>
      </c>
      <c r="L354" s="3">
        <f>(K354/I354)</f>
        <v>0.46236559139784944</v>
      </c>
      <c r="M354" s="2">
        <v>41609</v>
      </c>
      <c r="N354">
        <v>12</v>
      </c>
      <c r="O354" t="s">
        <v>12</v>
      </c>
      <c r="P354">
        <v>2013</v>
      </c>
    </row>
    <row r="355" spans="1:16" x14ac:dyDescent="0.25">
      <c r="A355" t="s">
        <v>4</v>
      </c>
      <c r="B355" t="s">
        <v>7</v>
      </c>
      <c r="C355" t="s">
        <v>2</v>
      </c>
      <c r="D355" t="s">
        <v>29</v>
      </c>
      <c r="E355">
        <v>250</v>
      </c>
      <c r="F355">
        <v>12</v>
      </c>
      <c r="G355">
        <v>38934</v>
      </c>
      <c r="H355">
        <v>2725.38</v>
      </c>
      <c r="I355" s="1">
        <v>36208.620000000003</v>
      </c>
      <c r="J355">
        <v>9733.5</v>
      </c>
      <c r="K355" s="1">
        <v>26475.120000000003</v>
      </c>
      <c r="L355" s="3">
        <f>(K355/I355)</f>
        <v>0.73118279569892475</v>
      </c>
      <c r="M355" s="2">
        <v>41640</v>
      </c>
      <c r="N355">
        <v>1</v>
      </c>
      <c r="O355" t="s">
        <v>9</v>
      </c>
      <c r="P355">
        <v>2014</v>
      </c>
    </row>
    <row r="356" spans="1:16" x14ac:dyDescent="0.25">
      <c r="A356" t="s">
        <v>14</v>
      </c>
      <c r="B356" t="s">
        <v>16</v>
      </c>
      <c r="C356" t="s">
        <v>2</v>
      </c>
      <c r="D356" t="s">
        <v>29</v>
      </c>
      <c r="E356">
        <v>250</v>
      </c>
      <c r="F356">
        <v>300</v>
      </c>
      <c r="G356">
        <v>287700</v>
      </c>
      <c r="H356">
        <v>20139</v>
      </c>
      <c r="I356" s="1">
        <v>267561</v>
      </c>
      <c r="J356">
        <v>239750</v>
      </c>
      <c r="K356" s="1">
        <v>27811</v>
      </c>
      <c r="L356" s="3">
        <f>(K356/I356)</f>
        <v>0.1039426523297491</v>
      </c>
      <c r="M356" s="2">
        <v>41671</v>
      </c>
      <c r="N356">
        <v>2</v>
      </c>
      <c r="O356" t="s">
        <v>5</v>
      </c>
      <c r="P356">
        <v>2014</v>
      </c>
    </row>
    <row r="357" spans="1:16" x14ac:dyDescent="0.25">
      <c r="A357" t="s">
        <v>14</v>
      </c>
      <c r="B357" t="s">
        <v>11</v>
      </c>
      <c r="C357" t="s">
        <v>2</v>
      </c>
      <c r="D357" t="s">
        <v>29</v>
      </c>
      <c r="E357">
        <v>250</v>
      </c>
      <c r="F357">
        <v>300</v>
      </c>
      <c r="G357">
        <v>824100</v>
      </c>
      <c r="H357">
        <v>57687</v>
      </c>
      <c r="I357" s="1">
        <v>766413</v>
      </c>
      <c r="J357">
        <v>686750</v>
      </c>
      <c r="K357" s="1">
        <v>79663</v>
      </c>
      <c r="L357" s="3">
        <f>(K357/I357)</f>
        <v>0.1039426523297491</v>
      </c>
      <c r="M357" s="2">
        <v>41671</v>
      </c>
      <c r="N357">
        <v>2</v>
      </c>
      <c r="O357" t="s">
        <v>0</v>
      </c>
      <c r="P357">
        <v>2014</v>
      </c>
    </row>
    <row r="358" spans="1:16" x14ac:dyDescent="0.25">
      <c r="A358" t="s">
        <v>20</v>
      </c>
      <c r="B358" t="s">
        <v>7</v>
      </c>
      <c r="C358" t="s">
        <v>13</v>
      </c>
      <c r="D358" t="s">
        <v>29</v>
      </c>
      <c r="E358">
        <v>260</v>
      </c>
      <c r="F358">
        <v>125</v>
      </c>
      <c r="G358">
        <v>205625</v>
      </c>
      <c r="H358">
        <v>14393.75</v>
      </c>
      <c r="I358" s="1">
        <v>191231.25</v>
      </c>
      <c r="J358">
        <v>197400</v>
      </c>
      <c r="K358" s="1">
        <v>-6168.75</v>
      </c>
      <c r="L358" s="3">
        <f>(K358/I358)</f>
        <v>-3.2258064516129031E-2</v>
      </c>
      <c r="M358" s="2">
        <v>41760</v>
      </c>
      <c r="N358">
        <v>5</v>
      </c>
      <c r="O358" t="s">
        <v>26</v>
      </c>
      <c r="P358">
        <v>2014</v>
      </c>
    </row>
    <row r="359" spans="1:16" x14ac:dyDescent="0.25">
      <c r="A359" t="s">
        <v>8</v>
      </c>
      <c r="B359" t="s">
        <v>16</v>
      </c>
      <c r="C359" t="s">
        <v>13</v>
      </c>
      <c r="D359" t="s">
        <v>29</v>
      </c>
      <c r="E359">
        <v>260</v>
      </c>
      <c r="F359">
        <v>350</v>
      </c>
      <c r="G359">
        <v>1006600</v>
      </c>
      <c r="H359">
        <v>70462</v>
      </c>
      <c r="I359" s="1">
        <v>936138</v>
      </c>
      <c r="J359">
        <v>747760</v>
      </c>
      <c r="K359" s="1">
        <v>188378</v>
      </c>
      <c r="L359" s="3">
        <f>(K359/I359)</f>
        <v>0.20122887864823349</v>
      </c>
      <c r="M359" s="2">
        <v>41883</v>
      </c>
      <c r="N359">
        <v>9</v>
      </c>
      <c r="O359" t="s">
        <v>25</v>
      </c>
      <c r="P359">
        <v>2014</v>
      </c>
    </row>
    <row r="360" spans="1:16" x14ac:dyDescent="0.25">
      <c r="A360" t="s">
        <v>20</v>
      </c>
      <c r="B360" t="s">
        <v>19</v>
      </c>
      <c r="C360" t="s">
        <v>13</v>
      </c>
      <c r="D360" t="s">
        <v>29</v>
      </c>
      <c r="E360">
        <v>260</v>
      </c>
      <c r="F360">
        <v>125</v>
      </c>
      <c r="G360">
        <v>124250</v>
      </c>
      <c r="H360">
        <v>8697.5</v>
      </c>
      <c r="I360" s="1">
        <v>115552.5</v>
      </c>
      <c r="J360">
        <v>119280</v>
      </c>
      <c r="K360" s="1">
        <v>-3727.5</v>
      </c>
      <c r="L360" s="3">
        <f>(K360/I360)</f>
        <v>-3.2258064516129031E-2</v>
      </c>
      <c r="M360" s="2">
        <v>41518</v>
      </c>
      <c r="N360">
        <v>9</v>
      </c>
      <c r="O360" t="s">
        <v>24</v>
      </c>
      <c r="P360">
        <v>2013</v>
      </c>
    </row>
    <row r="361" spans="1:16" x14ac:dyDescent="0.25">
      <c r="A361" t="s">
        <v>8</v>
      </c>
      <c r="B361" t="s">
        <v>7</v>
      </c>
      <c r="C361" t="s">
        <v>13</v>
      </c>
      <c r="D361" t="s">
        <v>29</v>
      </c>
      <c r="E361">
        <v>260</v>
      </c>
      <c r="F361">
        <v>20</v>
      </c>
      <c r="G361">
        <v>22360</v>
      </c>
      <c r="H361">
        <v>1565.2</v>
      </c>
      <c r="I361" s="1">
        <v>20794.8</v>
      </c>
      <c r="J361">
        <v>11180</v>
      </c>
      <c r="K361" s="1">
        <v>9614.7999999999993</v>
      </c>
      <c r="L361" s="3">
        <f>(K361/I361)</f>
        <v>0.46236559139784944</v>
      </c>
      <c r="M361" s="2">
        <v>41944</v>
      </c>
      <c r="N361">
        <v>11</v>
      </c>
      <c r="O361" t="s">
        <v>22</v>
      </c>
      <c r="P361">
        <v>2014</v>
      </c>
    </row>
    <row r="362" spans="1:16" x14ac:dyDescent="0.25">
      <c r="A362" t="s">
        <v>14</v>
      </c>
      <c r="B362" t="s">
        <v>3</v>
      </c>
      <c r="C362" t="s">
        <v>13</v>
      </c>
      <c r="D362" t="s">
        <v>29</v>
      </c>
      <c r="E362">
        <v>260</v>
      </c>
      <c r="F362">
        <v>300</v>
      </c>
      <c r="G362">
        <v>411600</v>
      </c>
      <c r="H362">
        <v>28812</v>
      </c>
      <c r="I362" s="1">
        <v>382788</v>
      </c>
      <c r="J362">
        <v>343000</v>
      </c>
      <c r="K362" s="1">
        <v>39788</v>
      </c>
      <c r="L362" s="3">
        <f>(K362/I362)</f>
        <v>0.1039426523297491</v>
      </c>
      <c r="M362" s="2">
        <v>41974</v>
      </c>
      <c r="N362">
        <v>12</v>
      </c>
      <c r="O362" t="s">
        <v>21</v>
      </c>
      <c r="P362">
        <v>2014</v>
      </c>
    </row>
    <row r="363" spans="1:16" x14ac:dyDescent="0.25">
      <c r="A363" t="s">
        <v>8</v>
      </c>
      <c r="B363" t="s">
        <v>7</v>
      </c>
      <c r="C363" t="s">
        <v>10</v>
      </c>
      <c r="D363" t="s">
        <v>29</v>
      </c>
      <c r="E363">
        <v>5</v>
      </c>
      <c r="F363">
        <v>7</v>
      </c>
      <c r="G363">
        <v>3416</v>
      </c>
      <c r="H363">
        <v>273.27999999999997</v>
      </c>
      <c r="I363" s="1">
        <v>3142.7200000000003</v>
      </c>
      <c r="J363">
        <v>2440</v>
      </c>
      <c r="K363" s="1">
        <v>702.72000000000025</v>
      </c>
      <c r="L363" s="3">
        <f>(K363/I363)</f>
        <v>0.22360248447204975</v>
      </c>
      <c r="M363" s="2">
        <v>41671</v>
      </c>
      <c r="N363">
        <v>2</v>
      </c>
      <c r="O363" t="s">
        <v>18</v>
      </c>
      <c r="P363">
        <v>2014</v>
      </c>
    </row>
    <row r="364" spans="1:16" x14ac:dyDescent="0.25">
      <c r="A364" t="s">
        <v>8</v>
      </c>
      <c r="B364" t="s">
        <v>3</v>
      </c>
      <c r="C364" t="s">
        <v>10</v>
      </c>
      <c r="D364" t="s">
        <v>29</v>
      </c>
      <c r="E364">
        <v>5</v>
      </c>
      <c r="F364">
        <v>20</v>
      </c>
      <c r="G364">
        <v>25640</v>
      </c>
      <c r="H364">
        <v>2051.1999999999998</v>
      </c>
      <c r="I364" s="1">
        <v>23588.799999999999</v>
      </c>
      <c r="J364">
        <v>12820</v>
      </c>
      <c r="K364" s="1">
        <v>10768.8</v>
      </c>
      <c r="L364" s="3">
        <f>(K364/I364)</f>
        <v>0.45652173913043476</v>
      </c>
      <c r="M364" s="2">
        <v>41791</v>
      </c>
      <c r="N364">
        <v>6</v>
      </c>
      <c r="O364" t="s">
        <v>17</v>
      </c>
      <c r="P364">
        <v>2014</v>
      </c>
    </row>
    <row r="365" spans="1:16" x14ac:dyDescent="0.25">
      <c r="A365" t="s">
        <v>8</v>
      </c>
      <c r="B365" t="s">
        <v>7</v>
      </c>
      <c r="C365" t="s">
        <v>6</v>
      </c>
      <c r="D365" t="s">
        <v>29</v>
      </c>
      <c r="E365">
        <v>10</v>
      </c>
      <c r="F365">
        <v>7</v>
      </c>
      <c r="G365">
        <v>1799</v>
      </c>
      <c r="H365">
        <v>143.91999999999999</v>
      </c>
      <c r="I365" s="1">
        <v>1655.08</v>
      </c>
      <c r="J365">
        <v>1285</v>
      </c>
      <c r="K365" s="1">
        <v>370.07999999999993</v>
      </c>
      <c r="L365" s="3">
        <f>(K365/I365)</f>
        <v>0.22360248447204967</v>
      </c>
      <c r="M365" s="2">
        <v>41760</v>
      </c>
      <c r="N365">
        <v>5</v>
      </c>
      <c r="O365" t="s">
        <v>15</v>
      </c>
      <c r="P365">
        <v>2014</v>
      </c>
    </row>
    <row r="366" spans="1:16" x14ac:dyDescent="0.25">
      <c r="A366" t="s">
        <v>8</v>
      </c>
      <c r="B366" t="s">
        <v>3</v>
      </c>
      <c r="C366" t="s">
        <v>13</v>
      </c>
      <c r="D366" t="s">
        <v>29</v>
      </c>
      <c r="E366">
        <v>260</v>
      </c>
      <c r="F366">
        <v>20</v>
      </c>
      <c r="G366">
        <v>25640</v>
      </c>
      <c r="H366">
        <v>2051.1999999999998</v>
      </c>
      <c r="I366" s="1">
        <v>23588.799999999999</v>
      </c>
      <c r="J366">
        <v>12820</v>
      </c>
      <c r="K366" s="1">
        <v>10768.8</v>
      </c>
      <c r="L366" s="3">
        <f>(K366/I366)</f>
        <v>0.45652173913043476</v>
      </c>
      <c r="M366" s="2">
        <v>41791</v>
      </c>
      <c r="N366">
        <v>6</v>
      </c>
      <c r="O366" t="s">
        <v>12</v>
      </c>
      <c r="P366">
        <v>2014</v>
      </c>
    </row>
    <row r="367" spans="1:16" x14ac:dyDescent="0.25">
      <c r="A367" t="s">
        <v>20</v>
      </c>
      <c r="B367" t="s">
        <v>11</v>
      </c>
      <c r="C367" t="s">
        <v>28</v>
      </c>
      <c r="D367" t="s">
        <v>29</v>
      </c>
      <c r="E367">
        <v>3</v>
      </c>
      <c r="F367">
        <v>125</v>
      </c>
      <c r="G367">
        <v>192500</v>
      </c>
      <c r="H367">
        <v>15400</v>
      </c>
      <c r="I367" s="1">
        <v>177100</v>
      </c>
      <c r="J367">
        <v>184800</v>
      </c>
      <c r="K367" s="1">
        <v>-7700</v>
      </c>
      <c r="L367" s="3">
        <f>(K367/I367)</f>
        <v>-4.3478260869565216E-2</v>
      </c>
      <c r="M367" s="2">
        <v>41852</v>
      </c>
      <c r="N367">
        <v>8</v>
      </c>
      <c r="O367" t="s">
        <v>9</v>
      </c>
      <c r="P367">
        <v>2014</v>
      </c>
    </row>
    <row r="368" spans="1:16" x14ac:dyDescent="0.25">
      <c r="A368" t="s">
        <v>23</v>
      </c>
      <c r="B368" t="s">
        <v>16</v>
      </c>
      <c r="C368" t="s">
        <v>28</v>
      </c>
      <c r="D368" t="s">
        <v>29</v>
      </c>
      <c r="E368">
        <v>3</v>
      </c>
      <c r="F368">
        <v>15</v>
      </c>
      <c r="G368">
        <v>7350</v>
      </c>
      <c r="H368">
        <v>588</v>
      </c>
      <c r="I368" s="1">
        <v>6762</v>
      </c>
      <c r="J368">
        <v>4900</v>
      </c>
      <c r="K368" s="1">
        <v>1862</v>
      </c>
      <c r="L368" s="3">
        <f>(K368/I368)</f>
        <v>0.27536231884057971</v>
      </c>
      <c r="M368" s="2">
        <v>41944</v>
      </c>
      <c r="N368">
        <v>11</v>
      </c>
      <c r="O368" t="s">
        <v>5</v>
      </c>
      <c r="P368">
        <v>2014</v>
      </c>
    </row>
    <row r="369" spans="1:16" x14ac:dyDescent="0.25">
      <c r="A369" t="s">
        <v>8</v>
      </c>
      <c r="B369" t="s">
        <v>11</v>
      </c>
      <c r="C369" t="s">
        <v>28</v>
      </c>
      <c r="D369" t="s">
        <v>29</v>
      </c>
      <c r="E369">
        <v>3</v>
      </c>
      <c r="F369">
        <v>350</v>
      </c>
      <c r="G369">
        <v>476700</v>
      </c>
      <c r="H369">
        <v>38136</v>
      </c>
      <c r="I369" s="1">
        <v>438564</v>
      </c>
      <c r="J369">
        <v>354120</v>
      </c>
      <c r="K369" s="1">
        <v>84444</v>
      </c>
      <c r="L369" s="3">
        <f>(K369/I369)</f>
        <v>0.19254658385093168</v>
      </c>
      <c r="M369" s="2">
        <v>41974</v>
      </c>
      <c r="N369">
        <v>12</v>
      </c>
      <c r="O369" t="s">
        <v>0</v>
      </c>
      <c r="P369">
        <v>2014</v>
      </c>
    </row>
    <row r="370" spans="1:16" x14ac:dyDescent="0.25">
      <c r="A370" t="s">
        <v>23</v>
      </c>
      <c r="B370" t="s">
        <v>16</v>
      </c>
      <c r="C370" t="s">
        <v>10</v>
      </c>
      <c r="D370" t="s">
        <v>29</v>
      </c>
      <c r="E370">
        <v>5</v>
      </c>
      <c r="F370">
        <v>15</v>
      </c>
      <c r="G370">
        <v>37515</v>
      </c>
      <c r="H370">
        <v>3001.2</v>
      </c>
      <c r="I370" s="1">
        <v>34513.800000000003</v>
      </c>
      <c r="J370">
        <v>25010</v>
      </c>
      <c r="K370" s="1">
        <v>9503.8000000000029</v>
      </c>
      <c r="L370" s="3">
        <f>(K370/I370)</f>
        <v>0.27536231884057977</v>
      </c>
      <c r="M370" s="2">
        <v>41699</v>
      </c>
      <c r="N370">
        <v>3</v>
      </c>
      <c r="O370" t="s">
        <v>26</v>
      </c>
      <c r="P370">
        <v>2014</v>
      </c>
    </row>
    <row r="371" spans="1:16" x14ac:dyDescent="0.25">
      <c r="A371" t="s">
        <v>8</v>
      </c>
      <c r="B371" t="s">
        <v>7</v>
      </c>
      <c r="C371" t="s">
        <v>10</v>
      </c>
      <c r="D371" t="s">
        <v>29</v>
      </c>
      <c r="E371">
        <v>5</v>
      </c>
      <c r="F371">
        <v>20</v>
      </c>
      <c r="G371">
        <v>14160</v>
      </c>
      <c r="H371">
        <v>1132.8</v>
      </c>
      <c r="I371" s="1">
        <v>13027.2</v>
      </c>
      <c r="J371">
        <v>7080</v>
      </c>
      <c r="K371" s="1">
        <v>5947.2000000000007</v>
      </c>
      <c r="L371" s="3">
        <f>(K371/I371)</f>
        <v>0.45652173913043481</v>
      </c>
      <c r="M371" s="2">
        <v>41791</v>
      </c>
      <c r="N371">
        <v>6</v>
      </c>
      <c r="O371" t="s">
        <v>25</v>
      </c>
      <c r="P371">
        <v>2014</v>
      </c>
    </row>
    <row r="372" spans="1:16" x14ac:dyDescent="0.25">
      <c r="A372" t="s">
        <v>8</v>
      </c>
      <c r="B372" t="s">
        <v>19</v>
      </c>
      <c r="C372" t="s">
        <v>10</v>
      </c>
      <c r="D372" t="s">
        <v>29</v>
      </c>
      <c r="E372">
        <v>5</v>
      </c>
      <c r="F372">
        <v>20</v>
      </c>
      <c r="G372">
        <v>12900</v>
      </c>
      <c r="H372">
        <v>1032</v>
      </c>
      <c r="I372" s="1">
        <v>11868</v>
      </c>
      <c r="J372">
        <v>6450</v>
      </c>
      <c r="K372" s="1">
        <v>5418</v>
      </c>
      <c r="L372" s="3">
        <f>(K372/I372)</f>
        <v>0.45652173913043476</v>
      </c>
      <c r="M372" s="2">
        <v>41821</v>
      </c>
      <c r="N372">
        <v>7</v>
      </c>
      <c r="O372" t="s">
        <v>24</v>
      </c>
      <c r="P372">
        <v>2014</v>
      </c>
    </row>
    <row r="373" spans="1:16" x14ac:dyDescent="0.25">
      <c r="A373" t="s">
        <v>14</v>
      </c>
      <c r="B373" t="s">
        <v>16</v>
      </c>
      <c r="C373" t="s">
        <v>10</v>
      </c>
      <c r="D373" t="s">
        <v>29</v>
      </c>
      <c r="E373">
        <v>5</v>
      </c>
      <c r="F373">
        <v>300</v>
      </c>
      <c r="G373">
        <v>468600</v>
      </c>
      <c r="H373">
        <v>37488</v>
      </c>
      <c r="I373" s="1">
        <v>431112</v>
      </c>
      <c r="J373">
        <v>390500</v>
      </c>
      <c r="K373" s="1">
        <v>40612</v>
      </c>
      <c r="L373" s="3">
        <f>(K373/I373)</f>
        <v>9.420289855072464E-2</v>
      </c>
      <c r="M373" s="2">
        <v>41852</v>
      </c>
      <c r="N373">
        <v>8</v>
      </c>
      <c r="O373" t="s">
        <v>22</v>
      </c>
      <c r="P373">
        <v>2014</v>
      </c>
    </row>
    <row r="374" spans="1:16" x14ac:dyDescent="0.25">
      <c r="A374" t="s">
        <v>14</v>
      </c>
      <c r="B374" t="s">
        <v>7</v>
      </c>
      <c r="C374" t="s">
        <v>10</v>
      </c>
      <c r="D374" t="s">
        <v>29</v>
      </c>
      <c r="E374">
        <v>5</v>
      </c>
      <c r="F374">
        <v>300</v>
      </c>
      <c r="G374">
        <v>384900</v>
      </c>
      <c r="H374">
        <v>30792</v>
      </c>
      <c r="I374" s="1">
        <v>354108</v>
      </c>
      <c r="J374">
        <v>320750</v>
      </c>
      <c r="K374" s="1">
        <v>33358</v>
      </c>
      <c r="L374" s="3">
        <f>(K374/I374)</f>
        <v>9.420289855072464E-2</v>
      </c>
      <c r="M374" s="2">
        <v>41518</v>
      </c>
      <c r="N374">
        <v>9</v>
      </c>
      <c r="O374" t="s">
        <v>21</v>
      </c>
      <c r="P374">
        <v>2013</v>
      </c>
    </row>
    <row r="375" spans="1:16" x14ac:dyDescent="0.25">
      <c r="A375" t="s">
        <v>23</v>
      </c>
      <c r="B375" t="s">
        <v>19</v>
      </c>
      <c r="C375" t="s">
        <v>10</v>
      </c>
      <c r="D375" t="s">
        <v>29</v>
      </c>
      <c r="E375">
        <v>5</v>
      </c>
      <c r="F375">
        <v>15</v>
      </c>
      <c r="G375">
        <v>10665</v>
      </c>
      <c r="H375">
        <v>853.2</v>
      </c>
      <c r="I375" s="1">
        <v>9811.7999999999993</v>
      </c>
      <c r="J375">
        <v>7110</v>
      </c>
      <c r="K375" s="1">
        <v>2701.7999999999993</v>
      </c>
      <c r="L375" s="3">
        <f>(K375/I375)</f>
        <v>0.27536231884057966</v>
      </c>
      <c r="M375" s="2">
        <v>41974</v>
      </c>
      <c r="N375">
        <v>12</v>
      </c>
      <c r="O375" t="s">
        <v>18</v>
      </c>
      <c r="P375">
        <v>2014</v>
      </c>
    </row>
    <row r="376" spans="1:16" x14ac:dyDescent="0.25">
      <c r="A376" t="s">
        <v>20</v>
      </c>
      <c r="B376" t="s">
        <v>11</v>
      </c>
      <c r="C376" t="s">
        <v>6</v>
      </c>
      <c r="D376" t="s">
        <v>29</v>
      </c>
      <c r="E376">
        <v>10</v>
      </c>
      <c r="F376">
        <v>125</v>
      </c>
      <c r="G376">
        <v>139250</v>
      </c>
      <c r="H376">
        <v>11140</v>
      </c>
      <c r="I376" s="1">
        <v>128110</v>
      </c>
      <c r="J376">
        <v>133680</v>
      </c>
      <c r="K376" s="1">
        <v>-5570</v>
      </c>
      <c r="L376" s="3">
        <f>(K376/I376)</f>
        <v>-4.3478260869565216E-2</v>
      </c>
      <c r="M376" s="2">
        <v>41699</v>
      </c>
      <c r="N376">
        <v>3</v>
      </c>
      <c r="O376" t="s">
        <v>17</v>
      </c>
      <c r="P376">
        <v>2014</v>
      </c>
    </row>
    <row r="377" spans="1:16" x14ac:dyDescent="0.25">
      <c r="A377" t="s">
        <v>8</v>
      </c>
      <c r="B377" t="s">
        <v>19</v>
      </c>
      <c r="C377" t="s">
        <v>6</v>
      </c>
      <c r="D377" t="s">
        <v>29</v>
      </c>
      <c r="E377">
        <v>10</v>
      </c>
      <c r="F377">
        <v>7</v>
      </c>
      <c r="G377">
        <v>8813</v>
      </c>
      <c r="H377">
        <v>705.04</v>
      </c>
      <c r="I377" s="1">
        <v>8107.96</v>
      </c>
      <c r="J377">
        <v>6295</v>
      </c>
      <c r="K377" s="1">
        <v>1812.96</v>
      </c>
      <c r="L377" s="3">
        <f>(K377/I377)</f>
        <v>0.2236024844720497</v>
      </c>
      <c r="M377" s="2">
        <v>41730</v>
      </c>
      <c r="N377">
        <v>4</v>
      </c>
      <c r="O377" t="s">
        <v>15</v>
      </c>
      <c r="P377">
        <v>2014</v>
      </c>
    </row>
    <row r="378" spans="1:16" x14ac:dyDescent="0.25">
      <c r="A378" t="s">
        <v>8</v>
      </c>
      <c r="B378" t="s">
        <v>19</v>
      </c>
      <c r="C378" t="s">
        <v>6</v>
      </c>
      <c r="D378" t="s">
        <v>29</v>
      </c>
      <c r="E378">
        <v>10</v>
      </c>
      <c r="F378">
        <v>7</v>
      </c>
      <c r="G378">
        <v>7665</v>
      </c>
      <c r="H378">
        <v>613.20000000000005</v>
      </c>
      <c r="I378" s="1">
        <v>7051.8</v>
      </c>
      <c r="J378">
        <v>5475</v>
      </c>
      <c r="K378" s="1">
        <v>1576.8000000000002</v>
      </c>
      <c r="L378" s="3">
        <f>(K378/I378)</f>
        <v>0.22360248447204972</v>
      </c>
      <c r="M378" s="2">
        <v>41760</v>
      </c>
      <c r="N378">
        <v>5</v>
      </c>
      <c r="O378" t="s">
        <v>12</v>
      </c>
      <c r="P378">
        <v>2014</v>
      </c>
    </row>
    <row r="379" spans="1:16" x14ac:dyDescent="0.25">
      <c r="A379" t="s">
        <v>8</v>
      </c>
      <c r="B379" t="s">
        <v>19</v>
      </c>
      <c r="C379" t="s">
        <v>6</v>
      </c>
      <c r="D379" t="s">
        <v>29</v>
      </c>
      <c r="E379">
        <v>10</v>
      </c>
      <c r="F379">
        <v>20</v>
      </c>
      <c r="G379">
        <v>27320</v>
      </c>
      <c r="H379">
        <v>2185.6</v>
      </c>
      <c r="I379" s="1">
        <v>25134.400000000001</v>
      </c>
      <c r="J379">
        <v>13660</v>
      </c>
      <c r="K379" s="1">
        <v>11474.400000000001</v>
      </c>
      <c r="L379" s="3">
        <f>(K379/I379)</f>
        <v>0.45652173913043481</v>
      </c>
      <c r="M379" s="2">
        <v>41791</v>
      </c>
      <c r="N379">
        <v>6</v>
      </c>
      <c r="O379" t="s">
        <v>9</v>
      </c>
      <c r="P379">
        <v>2014</v>
      </c>
    </row>
    <row r="380" spans="1:16" x14ac:dyDescent="0.25">
      <c r="A380" t="s">
        <v>14</v>
      </c>
      <c r="B380" t="s">
        <v>11</v>
      </c>
      <c r="C380" t="s">
        <v>6</v>
      </c>
      <c r="D380" t="s">
        <v>29</v>
      </c>
      <c r="E380">
        <v>10</v>
      </c>
      <c r="F380">
        <v>300</v>
      </c>
      <c r="G380">
        <v>738000</v>
      </c>
      <c r="H380">
        <v>59040</v>
      </c>
      <c r="I380" s="1">
        <v>678960</v>
      </c>
      <c r="J380">
        <v>615000</v>
      </c>
      <c r="K380" s="1">
        <v>63960</v>
      </c>
      <c r="L380" s="3">
        <f>(K380/I380)</f>
        <v>9.420289855072464E-2</v>
      </c>
      <c r="M380" s="2">
        <v>41791</v>
      </c>
      <c r="N380">
        <v>6</v>
      </c>
      <c r="O380" t="s">
        <v>5</v>
      </c>
      <c r="P380">
        <v>2014</v>
      </c>
    </row>
    <row r="381" spans="1:16" x14ac:dyDescent="0.25">
      <c r="A381" t="s">
        <v>8</v>
      </c>
      <c r="B381" t="s">
        <v>3</v>
      </c>
      <c r="C381" t="s">
        <v>6</v>
      </c>
      <c r="D381" t="s">
        <v>29</v>
      </c>
      <c r="E381">
        <v>10</v>
      </c>
      <c r="F381">
        <v>7</v>
      </c>
      <c r="G381">
        <v>4746</v>
      </c>
      <c r="H381">
        <v>379.68</v>
      </c>
      <c r="I381" s="1">
        <v>4366.32</v>
      </c>
      <c r="J381">
        <v>3390</v>
      </c>
      <c r="K381" s="1">
        <v>976.31999999999971</v>
      </c>
      <c r="L381" s="3">
        <f>(K381/I381)</f>
        <v>0.22360248447204964</v>
      </c>
      <c r="M381" s="2">
        <v>41852</v>
      </c>
      <c r="N381">
        <v>8</v>
      </c>
      <c r="O381" t="s">
        <v>0</v>
      </c>
      <c r="P381">
        <v>2014</v>
      </c>
    </row>
    <row r="382" spans="1:16" x14ac:dyDescent="0.25">
      <c r="A382" t="s">
        <v>8</v>
      </c>
      <c r="B382" t="s">
        <v>19</v>
      </c>
      <c r="C382" t="s">
        <v>6</v>
      </c>
      <c r="D382" t="s">
        <v>29</v>
      </c>
      <c r="E382">
        <v>10</v>
      </c>
      <c r="F382">
        <v>7</v>
      </c>
      <c r="G382">
        <v>11186</v>
      </c>
      <c r="H382">
        <v>894.88</v>
      </c>
      <c r="I382" s="1">
        <v>10291.120000000001</v>
      </c>
      <c r="J382">
        <v>7990</v>
      </c>
      <c r="K382" s="1">
        <v>2301.1200000000008</v>
      </c>
      <c r="L382" s="3">
        <f>(K382/I382)</f>
        <v>0.22360248447204975</v>
      </c>
      <c r="M382" s="2">
        <v>41852</v>
      </c>
      <c r="N382">
        <v>8</v>
      </c>
      <c r="O382" t="s">
        <v>26</v>
      </c>
      <c r="P382">
        <v>2014</v>
      </c>
    </row>
    <row r="383" spans="1:16" x14ac:dyDescent="0.25">
      <c r="A383" t="s">
        <v>8</v>
      </c>
      <c r="B383" t="s">
        <v>19</v>
      </c>
      <c r="C383" t="s">
        <v>6</v>
      </c>
      <c r="D383" t="s">
        <v>29</v>
      </c>
      <c r="E383">
        <v>10</v>
      </c>
      <c r="F383">
        <v>7</v>
      </c>
      <c r="G383">
        <v>16863</v>
      </c>
      <c r="H383">
        <v>1349.04</v>
      </c>
      <c r="I383" s="1">
        <v>15513.96</v>
      </c>
      <c r="J383">
        <v>12045</v>
      </c>
      <c r="K383" s="1">
        <v>3468.9599999999991</v>
      </c>
      <c r="L383" s="3">
        <f>(K383/I383)</f>
        <v>0.22360248447204964</v>
      </c>
      <c r="M383" s="2">
        <v>41518</v>
      </c>
      <c r="N383">
        <v>9</v>
      </c>
      <c r="O383" t="s">
        <v>25</v>
      </c>
      <c r="P383">
        <v>2013</v>
      </c>
    </row>
    <row r="384" spans="1:16" x14ac:dyDescent="0.25">
      <c r="A384" t="s">
        <v>8</v>
      </c>
      <c r="B384" t="s">
        <v>19</v>
      </c>
      <c r="C384" t="s">
        <v>6</v>
      </c>
      <c r="D384" t="s">
        <v>29</v>
      </c>
      <c r="E384">
        <v>10</v>
      </c>
      <c r="F384">
        <v>20</v>
      </c>
      <c r="G384">
        <v>38680</v>
      </c>
      <c r="H384">
        <v>3094.4</v>
      </c>
      <c r="I384" s="1">
        <v>35585.599999999999</v>
      </c>
      <c r="J384">
        <v>19340</v>
      </c>
      <c r="K384" s="1">
        <v>16245.599999999999</v>
      </c>
      <c r="L384" s="3">
        <f>(K384/I384)</f>
        <v>0.45652173913043476</v>
      </c>
      <c r="M384" s="2">
        <v>41883</v>
      </c>
      <c r="N384">
        <v>9</v>
      </c>
      <c r="O384" t="s">
        <v>24</v>
      </c>
      <c r="P384">
        <v>2014</v>
      </c>
    </row>
    <row r="385" spans="1:16" x14ac:dyDescent="0.25">
      <c r="A385" t="s">
        <v>8</v>
      </c>
      <c r="B385" t="s">
        <v>11</v>
      </c>
      <c r="C385" t="s">
        <v>6</v>
      </c>
      <c r="D385" t="s">
        <v>29</v>
      </c>
      <c r="E385">
        <v>10</v>
      </c>
      <c r="F385">
        <v>20</v>
      </c>
      <c r="G385">
        <v>59860</v>
      </c>
      <c r="H385">
        <v>4788.8</v>
      </c>
      <c r="I385" s="1">
        <v>55071.199999999997</v>
      </c>
      <c r="J385">
        <v>29930</v>
      </c>
      <c r="K385" s="1">
        <v>25141.199999999997</v>
      </c>
      <c r="L385" s="3">
        <f>(K385/I385)</f>
        <v>0.45652173913043476</v>
      </c>
      <c r="M385" s="2">
        <v>41883</v>
      </c>
      <c r="N385">
        <v>9</v>
      </c>
      <c r="O385" t="s">
        <v>22</v>
      </c>
      <c r="P385">
        <v>2014</v>
      </c>
    </row>
    <row r="386" spans="1:16" x14ac:dyDescent="0.25">
      <c r="A386" t="s">
        <v>8</v>
      </c>
      <c r="B386" t="s">
        <v>19</v>
      </c>
      <c r="C386" t="s">
        <v>6</v>
      </c>
      <c r="D386" t="s">
        <v>29</v>
      </c>
      <c r="E386">
        <v>10</v>
      </c>
      <c r="F386">
        <v>350</v>
      </c>
      <c r="G386">
        <v>751100</v>
      </c>
      <c r="H386">
        <v>60088</v>
      </c>
      <c r="I386" s="1">
        <v>691012</v>
      </c>
      <c r="J386">
        <v>557960</v>
      </c>
      <c r="K386" s="1">
        <v>133052</v>
      </c>
      <c r="L386" s="3">
        <f>(K386/I386)</f>
        <v>0.19254658385093168</v>
      </c>
      <c r="M386" s="2">
        <v>41579</v>
      </c>
      <c r="N386">
        <v>11</v>
      </c>
      <c r="O386" t="s">
        <v>21</v>
      </c>
      <c r="P386">
        <v>2013</v>
      </c>
    </row>
    <row r="387" spans="1:16" x14ac:dyDescent="0.25">
      <c r="A387" t="s">
        <v>8</v>
      </c>
      <c r="B387" t="s">
        <v>11</v>
      </c>
      <c r="C387" t="s">
        <v>6</v>
      </c>
      <c r="D387" t="s">
        <v>29</v>
      </c>
      <c r="E387">
        <v>10</v>
      </c>
      <c r="F387">
        <v>7</v>
      </c>
      <c r="G387">
        <v>13622</v>
      </c>
      <c r="H387">
        <v>1089.76</v>
      </c>
      <c r="I387" s="1">
        <v>12532.24</v>
      </c>
      <c r="J387">
        <v>9730</v>
      </c>
      <c r="K387" s="1">
        <v>2802.24</v>
      </c>
      <c r="L387" s="3">
        <f>(K387/I387)</f>
        <v>0.22360248447204967</v>
      </c>
      <c r="M387" s="2">
        <v>41609</v>
      </c>
      <c r="N387">
        <v>12</v>
      </c>
      <c r="O387" t="s">
        <v>18</v>
      </c>
      <c r="P387">
        <v>2013</v>
      </c>
    </row>
    <row r="388" spans="1:16" x14ac:dyDescent="0.25">
      <c r="A388" t="s">
        <v>8</v>
      </c>
      <c r="B388" t="s">
        <v>11</v>
      </c>
      <c r="C388" t="s">
        <v>6</v>
      </c>
      <c r="D388" t="s">
        <v>29</v>
      </c>
      <c r="E388">
        <v>10</v>
      </c>
      <c r="F388">
        <v>350</v>
      </c>
      <c r="G388">
        <v>476700</v>
      </c>
      <c r="H388">
        <v>38136</v>
      </c>
      <c r="I388" s="1">
        <v>438564</v>
      </c>
      <c r="J388">
        <v>354120</v>
      </c>
      <c r="K388" s="1">
        <v>84444</v>
      </c>
      <c r="L388" s="3">
        <f>(K388/I388)</f>
        <v>0.19254658385093168</v>
      </c>
      <c r="M388" s="2">
        <v>41974</v>
      </c>
      <c r="N388">
        <v>12</v>
      </c>
      <c r="O388" t="s">
        <v>17</v>
      </c>
      <c r="P388">
        <v>2014</v>
      </c>
    </row>
    <row r="389" spans="1:16" x14ac:dyDescent="0.25">
      <c r="A389" t="s">
        <v>4</v>
      </c>
      <c r="B389" t="s">
        <v>7</v>
      </c>
      <c r="C389" t="s">
        <v>27</v>
      </c>
      <c r="D389" t="s">
        <v>29</v>
      </c>
      <c r="E389">
        <v>120</v>
      </c>
      <c r="F389">
        <v>12</v>
      </c>
      <c r="G389">
        <v>7176</v>
      </c>
      <c r="H389">
        <v>574.08000000000004</v>
      </c>
      <c r="I389" s="1">
        <v>6601.92</v>
      </c>
      <c r="J389">
        <v>1794</v>
      </c>
      <c r="K389" s="1">
        <v>4807.92</v>
      </c>
      <c r="L389" s="3">
        <f>(K389/I389)</f>
        <v>0.72826086956521741</v>
      </c>
      <c r="M389" s="2">
        <v>41699</v>
      </c>
      <c r="N389">
        <v>3</v>
      </c>
      <c r="O389" t="s">
        <v>15</v>
      </c>
      <c r="P389">
        <v>2014</v>
      </c>
    </row>
    <row r="390" spans="1:16" x14ac:dyDescent="0.25">
      <c r="A390" t="s">
        <v>8</v>
      </c>
      <c r="B390" t="s">
        <v>3</v>
      </c>
      <c r="C390" t="s">
        <v>27</v>
      </c>
      <c r="D390" t="s">
        <v>29</v>
      </c>
      <c r="E390">
        <v>120</v>
      </c>
      <c r="F390">
        <v>7</v>
      </c>
      <c r="G390">
        <v>20349</v>
      </c>
      <c r="H390">
        <v>1627.92</v>
      </c>
      <c r="I390" s="1">
        <v>18721.080000000002</v>
      </c>
      <c r="J390">
        <v>14535</v>
      </c>
      <c r="K390" s="1">
        <v>4186.0800000000017</v>
      </c>
      <c r="L390" s="3">
        <f>(K390/I390)</f>
        <v>0.22360248447204975</v>
      </c>
      <c r="M390" s="2">
        <v>41791</v>
      </c>
      <c r="N390">
        <v>6</v>
      </c>
      <c r="O390" t="s">
        <v>12</v>
      </c>
      <c r="P390">
        <v>2014</v>
      </c>
    </row>
    <row r="391" spans="1:16" x14ac:dyDescent="0.25">
      <c r="A391" t="s">
        <v>8</v>
      </c>
      <c r="B391" t="s">
        <v>19</v>
      </c>
      <c r="C391" t="s">
        <v>27</v>
      </c>
      <c r="D391" t="s">
        <v>29</v>
      </c>
      <c r="E391">
        <v>120</v>
      </c>
      <c r="F391">
        <v>7</v>
      </c>
      <c r="G391">
        <v>16366</v>
      </c>
      <c r="H391">
        <v>1309.28</v>
      </c>
      <c r="I391" s="1">
        <v>15056.72</v>
      </c>
      <c r="J391">
        <v>11690</v>
      </c>
      <c r="K391" s="1">
        <v>3366.7199999999993</v>
      </c>
      <c r="L391" s="3">
        <f>(K391/I391)</f>
        <v>0.22360248447204967</v>
      </c>
      <c r="M391" s="2">
        <v>41791</v>
      </c>
      <c r="N391">
        <v>6</v>
      </c>
      <c r="O391" t="s">
        <v>9</v>
      </c>
      <c r="P391">
        <v>2014</v>
      </c>
    </row>
    <row r="392" spans="1:16" x14ac:dyDescent="0.25">
      <c r="A392" t="s">
        <v>14</v>
      </c>
      <c r="B392" t="s">
        <v>16</v>
      </c>
      <c r="C392" t="s">
        <v>27</v>
      </c>
      <c r="D392" t="s">
        <v>29</v>
      </c>
      <c r="E392">
        <v>120</v>
      </c>
      <c r="F392">
        <v>300</v>
      </c>
      <c r="G392">
        <v>115800</v>
      </c>
      <c r="H392">
        <v>9264</v>
      </c>
      <c r="I392" s="1">
        <v>106536</v>
      </c>
      <c r="J392">
        <v>96500</v>
      </c>
      <c r="K392" s="1">
        <v>10036</v>
      </c>
      <c r="L392" s="3">
        <f>(K392/I392)</f>
        <v>9.420289855072464E-2</v>
      </c>
      <c r="M392" s="2">
        <v>41579</v>
      </c>
      <c r="N392">
        <v>11</v>
      </c>
      <c r="O392" t="s">
        <v>5</v>
      </c>
      <c r="P392">
        <v>2013</v>
      </c>
    </row>
    <row r="393" spans="1:16" x14ac:dyDescent="0.25">
      <c r="A393" t="s">
        <v>14</v>
      </c>
      <c r="B393" t="s">
        <v>11</v>
      </c>
      <c r="C393" t="s">
        <v>27</v>
      </c>
      <c r="D393" t="s">
        <v>29</v>
      </c>
      <c r="E393">
        <v>120</v>
      </c>
      <c r="F393">
        <v>300</v>
      </c>
      <c r="G393">
        <v>190500</v>
      </c>
      <c r="H393">
        <v>15240</v>
      </c>
      <c r="I393" s="1">
        <v>175260</v>
      </c>
      <c r="J393">
        <v>158750</v>
      </c>
      <c r="K393" s="1">
        <v>16510</v>
      </c>
      <c r="L393" s="3">
        <f>(K393/I393)</f>
        <v>9.420289855072464E-2</v>
      </c>
      <c r="M393" s="2">
        <v>41974</v>
      </c>
      <c r="N393">
        <v>12</v>
      </c>
      <c r="O393" t="s">
        <v>0</v>
      </c>
      <c r="P393">
        <v>2014</v>
      </c>
    </row>
    <row r="394" spans="1:16" x14ac:dyDescent="0.25">
      <c r="A394" t="s">
        <v>8</v>
      </c>
      <c r="B394" t="s">
        <v>16</v>
      </c>
      <c r="C394" t="s">
        <v>2</v>
      </c>
      <c r="D394" t="s">
        <v>29</v>
      </c>
      <c r="E394">
        <v>250</v>
      </c>
      <c r="F394">
        <v>350</v>
      </c>
      <c r="G394">
        <v>201075</v>
      </c>
      <c r="H394">
        <v>16086</v>
      </c>
      <c r="I394" s="1">
        <v>184989</v>
      </c>
      <c r="J394">
        <v>149370</v>
      </c>
      <c r="K394" s="1">
        <v>35619</v>
      </c>
      <c r="L394" s="3">
        <f>(K394/I394)</f>
        <v>0.19254658385093168</v>
      </c>
      <c r="M394" s="2">
        <v>41730</v>
      </c>
      <c r="N394">
        <v>4</v>
      </c>
      <c r="O394" t="s">
        <v>26</v>
      </c>
      <c r="P394">
        <v>2014</v>
      </c>
    </row>
    <row r="395" spans="1:16" x14ac:dyDescent="0.25">
      <c r="A395" t="s">
        <v>8</v>
      </c>
      <c r="B395" t="s">
        <v>19</v>
      </c>
      <c r="C395" t="s">
        <v>2</v>
      </c>
      <c r="D395" t="s">
        <v>29</v>
      </c>
      <c r="E395">
        <v>250</v>
      </c>
      <c r="F395">
        <v>7</v>
      </c>
      <c r="G395">
        <v>16366</v>
      </c>
      <c r="H395">
        <v>1309.28</v>
      </c>
      <c r="I395" s="1">
        <v>15056.72</v>
      </c>
      <c r="J395">
        <v>11690</v>
      </c>
      <c r="K395" s="1">
        <v>3366.7199999999993</v>
      </c>
      <c r="L395" s="3">
        <f>(K395/I395)</f>
        <v>0.22360248447204967</v>
      </c>
      <c r="M395" s="2">
        <v>41791</v>
      </c>
      <c r="N395">
        <v>6</v>
      </c>
      <c r="O395" t="s">
        <v>25</v>
      </c>
      <c r="P395">
        <v>2014</v>
      </c>
    </row>
    <row r="396" spans="1:16" x14ac:dyDescent="0.25">
      <c r="A396" t="s">
        <v>8</v>
      </c>
      <c r="B396" t="s">
        <v>16</v>
      </c>
      <c r="C396" t="s">
        <v>2</v>
      </c>
      <c r="D396" t="s">
        <v>29</v>
      </c>
      <c r="E396">
        <v>250</v>
      </c>
      <c r="F396">
        <v>350</v>
      </c>
      <c r="G396">
        <v>133350</v>
      </c>
      <c r="H396">
        <v>10668</v>
      </c>
      <c r="I396" s="1">
        <v>122682</v>
      </c>
      <c r="J396">
        <v>99060</v>
      </c>
      <c r="K396" s="1">
        <v>23622</v>
      </c>
      <c r="L396" s="3">
        <f>(K396/I396)</f>
        <v>0.19254658385093168</v>
      </c>
      <c r="M396" s="2">
        <v>41852</v>
      </c>
      <c r="N396">
        <v>8</v>
      </c>
      <c r="O396" t="s">
        <v>24</v>
      </c>
      <c r="P396">
        <v>2014</v>
      </c>
    </row>
    <row r="397" spans="1:16" x14ac:dyDescent="0.25">
      <c r="A397" t="s">
        <v>8</v>
      </c>
      <c r="B397" t="s">
        <v>19</v>
      </c>
      <c r="C397" t="s">
        <v>2</v>
      </c>
      <c r="D397" t="s">
        <v>29</v>
      </c>
      <c r="E397">
        <v>250</v>
      </c>
      <c r="F397">
        <v>350</v>
      </c>
      <c r="G397">
        <v>147700</v>
      </c>
      <c r="H397">
        <v>11816</v>
      </c>
      <c r="I397" s="1">
        <v>135884</v>
      </c>
      <c r="J397">
        <v>109720</v>
      </c>
      <c r="K397" s="1">
        <v>26164</v>
      </c>
      <c r="L397" s="3">
        <f>(K397/I397)</f>
        <v>0.19254658385093168</v>
      </c>
      <c r="M397" s="2">
        <v>41852</v>
      </c>
      <c r="N397">
        <v>8</v>
      </c>
      <c r="O397" t="s">
        <v>22</v>
      </c>
      <c r="P397">
        <v>2014</v>
      </c>
    </row>
    <row r="398" spans="1:16" x14ac:dyDescent="0.25">
      <c r="A398" t="s">
        <v>14</v>
      </c>
      <c r="B398" t="s">
        <v>7</v>
      </c>
      <c r="C398" t="s">
        <v>2</v>
      </c>
      <c r="D398" t="s">
        <v>29</v>
      </c>
      <c r="E398">
        <v>250</v>
      </c>
      <c r="F398">
        <v>300</v>
      </c>
      <c r="G398">
        <v>640200</v>
      </c>
      <c r="H398">
        <v>51216</v>
      </c>
      <c r="I398" s="1">
        <v>588984</v>
      </c>
      <c r="J398">
        <v>533500</v>
      </c>
      <c r="K398" s="1">
        <v>55484</v>
      </c>
      <c r="L398" s="3">
        <f>(K398/I398)</f>
        <v>9.420289855072464E-2</v>
      </c>
      <c r="M398" s="2">
        <v>41883</v>
      </c>
      <c r="N398">
        <v>9</v>
      </c>
      <c r="O398" t="s">
        <v>21</v>
      </c>
      <c r="P398">
        <v>2014</v>
      </c>
    </row>
    <row r="399" spans="1:16" x14ac:dyDescent="0.25">
      <c r="A399" t="s">
        <v>14</v>
      </c>
      <c r="B399" t="s">
        <v>3</v>
      </c>
      <c r="C399" t="s">
        <v>2</v>
      </c>
      <c r="D399" t="s">
        <v>29</v>
      </c>
      <c r="E399">
        <v>250</v>
      </c>
      <c r="F399">
        <v>300</v>
      </c>
      <c r="G399">
        <v>242400</v>
      </c>
      <c r="H399">
        <v>19392</v>
      </c>
      <c r="I399" s="1">
        <v>223008</v>
      </c>
      <c r="J399">
        <v>202000</v>
      </c>
      <c r="K399" s="1">
        <v>21008</v>
      </c>
      <c r="L399" s="3">
        <f>(K399/I399)</f>
        <v>9.420289855072464E-2</v>
      </c>
      <c r="M399" s="2">
        <v>41609</v>
      </c>
      <c r="N399">
        <v>12</v>
      </c>
      <c r="O399" t="s">
        <v>18</v>
      </c>
      <c r="P399">
        <v>2013</v>
      </c>
    </row>
    <row r="400" spans="1:16" x14ac:dyDescent="0.25">
      <c r="A400" t="s">
        <v>8</v>
      </c>
      <c r="B400" t="s">
        <v>7</v>
      </c>
      <c r="C400" t="s">
        <v>13</v>
      </c>
      <c r="D400" t="s">
        <v>29</v>
      </c>
      <c r="E400">
        <v>260</v>
      </c>
      <c r="F400">
        <v>20</v>
      </c>
      <c r="G400">
        <v>14160</v>
      </c>
      <c r="H400">
        <v>1132.8</v>
      </c>
      <c r="I400" s="1">
        <v>13027.2</v>
      </c>
      <c r="J400">
        <v>7080</v>
      </c>
      <c r="K400" s="1">
        <v>5947.2000000000007</v>
      </c>
      <c r="L400" s="3">
        <f>(K400/I400)</f>
        <v>0.45652173913043481</v>
      </c>
      <c r="M400" s="2">
        <v>41791</v>
      </c>
      <c r="N400">
        <v>6</v>
      </c>
      <c r="O400" t="s">
        <v>17</v>
      </c>
      <c r="P400">
        <v>2014</v>
      </c>
    </row>
    <row r="401" spans="1:16" x14ac:dyDescent="0.25">
      <c r="A401" t="s">
        <v>8</v>
      </c>
      <c r="B401" t="s">
        <v>3</v>
      </c>
      <c r="C401" t="s">
        <v>13</v>
      </c>
      <c r="D401" t="s">
        <v>29</v>
      </c>
      <c r="E401">
        <v>260</v>
      </c>
      <c r="F401">
        <v>7</v>
      </c>
      <c r="G401">
        <v>20349</v>
      </c>
      <c r="H401">
        <v>1627.92</v>
      </c>
      <c r="I401" s="1">
        <v>18721.080000000002</v>
      </c>
      <c r="J401">
        <v>14535</v>
      </c>
      <c r="K401" s="1">
        <v>4186.0800000000017</v>
      </c>
      <c r="L401" s="3">
        <f>(K401/I401)</f>
        <v>0.22360248447204975</v>
      </c>
      <c r="M401" s="2">
        <v>41791</v>
      </c>
      <c r="N401">
        <v>6</v>
      </c>
      <c r="O401" t="s">
        <v>15</v>
      </c>
      <c r="P401">
        <v>2014</v>
      </c>
    </row>
    <row r="402" spans="1:16" x14ac:dyDescent="0.25">
      <c r="A402" t="s">
        <v>8</v>
      </c>
      <c r="B402" t="s">
        <v>19</v>
      </c>
      <c r="C402" t="s">
        <v>13</v>
      </c>
      <c r="D402" t="s">
        <v>29</v>
      </c>
      <c r="E402">
        <v>260</v>
      </c>
      <c r="F402">
        <v>20</v>
      </c>
      <c r="G402">
        <v>27320</v>
      </c>
      <c r="H402">
        <v>2185.6</v>
      </c>
      <c r="I402" s="1">
        <v>25134.400000000001</v>
      </c>
      <c r="J402">
        <v>13660</v>
      </c>
      <c r="K402" s="1">
        <v>11474.400000000001</v>
      </c>
      <c r="L402" s="3">
        <f>(K402/I402)</f>
        <v>0.45652173913043481</v>
      </c>
      <c r="M402" s="2">
        <v>41791</v>
      </c>
      <c r="N402">
        <v>6</v>
      </c>
      <c r="O402" t="s">
        <v>12</v>
      </c>
      <c r="P402">
        <v>2014</v>
      </c>
    </row>
    <row r="403" spans="1:16" x14ac:dyDescent="0.25">
      <c r="A403" t="s">
        <v>14</v>
      </c>
      <c r="B403" t="s">
        <v>11</v>
      </c>
      <c r="C403" t="s">
        <v>13</v>
      </c>
      <c r="D403" t="s">
        <v>29</v>
      </c>
      <c r="E403">
        <v>260</v>
      </c>
      <c r="F403">
        <v>300</v>
      </c>
      <c r="G403">
        <v>738000</v>
      </c>
      <c r="H403">
        <v>59040</v>
      </c>
      <c r="I403" s="1">
        <v>678960</v>
      </c>
      <c r="J403">
        <v>615000</v>
      </c>
      <c r="K403" s="1">
        <v>63960</v>
      </c>
      <c r="L403" s="3">
        <f>(K403/I403)</f>
        <v>9.420289855072464E-2</v>
      </c>
      <c r="M403" s="2">
        <v>41791</v>
      </c>
      <c r="N403">
        <v>6</v>
      </c>
      <c r="O403" t="s">
        <v>9</v>
      </c>
      <c r="P403">
        <v>2014</v>
      </c>
    </row>
    <row r="404" spans="1:16" x14ac:dyDescent="0.25">
      <c r="A404" t="s">
        <v>8</v>
      </c>
      <c r="B404" t="s">
        <v>19</v>
      </c>
      <c r="C404" t="s">
        <v>13</v>
      </c>
      <c r="D404" t="s">
        <v>29</v>
      </c>
      <c r="E404">
        <v>260</v>
      </c>
      <c r="F404">
        <v>20</v>
      </c>
      <c r="G404">
        <v>30400</v>
      </c>
      <c r="H404">
        <v>2432</v>
      </c>
      <c r="I404" s="1">
        <v>27968</v>
      </c>
      <c r="J404">
        <v>15200</v>
      </c>
      <c r="K404" s="1">
        <v>12768</v>
      </c>
      <c r="L404" s="3">
        <f>(K404/I404)</f>
        <v>0.45652173913043476</v>
      </c>
      <c r="M404" s="2">
        <v>41944</v>
      </c>
      <c r="N404">
        <v>11</v>
      </c>
      <c r="O404" t="s">
        <v>5</v>
      </c>
      <c r="P404">
        <v>2014</v>
      </c>
    </row>
    <row r="405" spans="1:16" x14ac:dyDescent="0.25">
      <c r="A405" t="s">
        <v>23</v>
      </c>
      <c r="B405" t="s">
        <v>19</v>
      </c>
      <c r="C405" t="s">
        <v>13</v>
      </c>
      <c r="D405" t="s">
        <v>29</v>
      </c>
      <c r="E405">
        <v>260</v>
      </c>
      <c r="F405">
        <v>15</v>
      </c>
      <c r="G405">
        <v>10665</v>
      </c>
      <c r="H405">
        <v>853.2</v>
      </c>
      <c r="I405" s="1">
        <v>9811.7999999999993</v>
      </c>
      <c r="J405">
        <v>7110</v>
      </c>
      <c r="K405" s="1">
        <v>2701.7999999999993</v>
      </c>
      <c r="L405" s="3">
        <f>(K405/I405)</f>
        <v>0.27536231884057966</v>
      </c>
      <c r="M405" s="2">
        <v>41974</v>
      </c>
      <c r="N405">
        <v>12</v>
      </c>
      <c r="O405" t="s">
        <v>0</v>
      </c>
      <c r="P405">
        <v>2014</v>
      </c>
    </row>
    <row r="406" spans="1:16" x14ac:dyDescent="0.25">
      <c r="A406" t="s">
        <v>4</v>
      </c>
      <c r="B406" t="s">
        <v>11</v>
      </c>
      <c r="C406" t="s">
        <v>13</v>
      </c>
      <c r="D406" t="s">
        <v>29</v>
      </c>
      <c r="E406">
        <v>260</v>
      </c>
      <c r="F406">
        <v>12</v>
      </c>
      <c r="G406">
        <v>16500</v>
      </c>
      <c r="H406">
        <v>1320</v>
      </c>
      <c r="I406" s="1">
        <v>15180</v>
      </c>
      <c r="J406">
        <v>4125</v>
      </c>
      <c r="K406" s="1">
        <v>11055</v>
      </c>
      <c r="L406" s="3">
        <f>(K406/I406)</f>
        <v>0.72826086956521741</v>
      </c>
      <c r="M406" s="2">
        <v>41609</v>
      </c>
      <c r="N406">
        <v>12</v>
      </c>
      <c r="O406" t="s">
        <v>26</v>
      </c>
      <c r="P406">
        <v>2013</v>
      </c>
    </row>
    <row r="407" spans="1:16" x14ac:dyDescent="0.25">
      <c r="A407" t="s">
        <v>14</v>
      </c>
      <c r="B407" t="s">
        <v>11</v>
      </c>
      <c r="C407" t="s">
        <v>13</v>
      </c>
      <c r="D407" t="s">
        <v>29</v>
      </c>
      <c r="E407">
        <v>260</v>
      </c>
      <c r="F407">
        <v>300</v>
      </c>
      <c r="G407">
        <v>190500</v>
      </c>
      <c r="H407">
        <v>15240</v>
      </c>
      <c r="I407" s="1">
        <v>175260</v>
      </c>
      <c r="J407">
        <v>158750</v>
      </c>
      <c r="K407" s="1">
        <v>16510</v>
      </c>
      <c r="L407" s="3">
        <f>(K407/I407)</f>
        <v>9.420289855072464E-2</v>
      </c>
      <c r="M407" s="2">
        <v>41974</v>
      </c>
      <c r="N407">
        <v>12</v>
      </c>
      <c r="O407" t="s">
        <v>25</v>
      </c>
      <c r="P407">
        <v>2014</v>
      </c>
    </row>
    <row r="408" spans="1:16" x14ac:dyDescent="0.25">
      <c r="A408" t="s">
        <v>8</v>
      </c>
      <c r="B408" t="s">
        <v>3</v>
      </c>
      <c r="C408" t="s">
        <v>2</v>
      </c>
      <c r="D408" t="s">
        <v>29</v>
      </c>
      <c r="E408">
        <v>250</v>
      </c>
      <c r="F408">
        <v>20</v>
      </c>
      <c r="G408">
        <v>8730</v>
      </c>
      <c r="H408">
        <v>698.40000000000009</v>
      </c>
      <c r="I408" s="1">
        <v>8031.5999999999995</v>
      </c>
      <c r="J408">
        <v>4365</v>
      </c>
      <c r="K408" s="1">
        <v>3666.5999999999995</v>
      </c>
      <c r="L408" s="3">
        <f>(K408/I408)</f>
        <v>0.45652173913043476</v>
      </c>
      <c r="M408" s="2">
        <v>41821</v>
      </c>
      <c r="N408">
        <v>7</v>
      </c>
      <c r="O408" t="s">
        <v>24</v>
      </c>
      <c r="P408">
        <v>2014</v>
      </c>
    </row>
    <row r="409" spans="1:16" x14ac:dyDescent="0.25">
      <c r="A409" t="s">
        <v>14</v>
      </c>
      <c r="B409" t="s">
        <v>7</v>
      </c>
      <c r="C409" t="s">
        <v>28</v>
      </c>
      <c r="D409" t="s">
        <v>29</v>
      </c>
      <c r="E409">
        <v>3</v>
      </c>
      <c r="F409">
        <v>300</v>
      </c>
      <c r="G409">
        <v>328200</v>
      </c>
      <c r="H409">
        <v>29538</v>
      </c>
      <c r="I409" s="1">
        <v>298662</v>
      </c>
      <c r="J409">
        <v>273500</v>
      </c>
      <c r="K409" s="1">
        <v>25162</v>
      </c>
      <c r="L409" s="3">
        <f>(K409/I409)</f>
        <v>8.4249084249084255E-2</v>
      </c>
      <c r="M409" s="2">
        <v>41791</v>
      </c>
      <c r="N409">
        <v>6</v>
      </c>
      <c r="O409" t="s">
        <v>22</v>
      </c>
      <c r="P409">
        <v>2014</v>
      </c>
    </row>
    <row r="410" spans="1:16" x14ac:dyDescent="0.25">
      <c r="A410" t="s">
        <v>4</v>
      </c>
      <c r="B410" t="s">
        <v>11</v>
      </c>
      <c r="C410" t="s">
        <v>28</v>
      </c>
      <c r="D410" t="s">
        <v>29</v>
      </c>
      <c r="E410">
        <v>3</v>
      </c>
      <c r="F410">
        <v>12</v>
      </c>
      <c r="G410">
        <v>4404</v>
      </c>
      <c r="H410">
        <v>396.36</v>
      </c>
      <c r="I410" s="1">
        <v>4007.64</v>
      </c>
      <c r="J410">
        <v>1101</v>
      </c>
      <c r="K410" s="1">
        <v>2906.64</v>
      </c>
      <c r="L410" s="3">
        <f>(K410/I410)</f>
        <v>0.72527472527472525</v>
      </c>
      <c r="M410" s="2">
        <v>41548</v>
      </c>
      <c r="N410">
        <v>10</v>
      </c>
      <c r="O410" t="s">
        <v>21</v>
      </c>
      <c r="P410">
        <v>2013</v>
      </c>
    </row>
    <row r="411" spans="1:16" x14ac:dyDescent="0.25">
      <c r="A411" t="s">
        <v>14</v>
      </c>
      <c r="B411" t="s">
        <v>7</v>
      </c>
      <c r="C411" t="s">
        <v>10</v>
      </c>
      <c r="D411" t="s">
        <v>29</v>
      </c>
      <c r="E411">
        <v>5</v>
      </c>
      <c r="F411">
        <v>300</v>
      </c>
      <c r="G411">
        <v>1140750</v>
      </c>
      <c r="H411">
        <v>102667.5</v>
      </c>
      <c r="I411" s="1">
        <v>1038082.5</v>
      </c>
      <c r="J411">
        <v>950625</v>
      </c>
      <c r="K411" s="1">
        <v>87457.5</v>
      </c>
      <c r="L411" s="3">
        <f>(K411/I411)</f>
        <v>8.4249084249084255E-2</v>
      </c>
      <c r="M411" s="2">
        <v>41730</v>
      </c>
      <c r="N411">
        <v>4</v>
      </c>
      <c r="O411" t="s">
        <v>18</v>
      </c>
      <c r="P411">
        <v>2014</v>
      </c>
    </row>
    <row r="412" spans="1:16" x14ac:dyDescent="0.25">
      <c r="A412" t="s">
        <v>8</v>
      </c>
      <c r="B412" t="s">
        <v>16</v>
      </c>
      <c r="C412" t="s">
        <v>10</v>
      </c>
      <c r="D412" t="s">
        <v>29</v>
      </c>
      <c r="E412">
        <v>5</v>
      </c>
      <c r="F412">
        <v>350</v>
      </c>
      <c r="G412">
        <v>583100</v>
      </c>
      <c r="H412">
        <v>52479</v>
      </c>
      <c r="I412" s="1">
        <v>530621</v>
      </c>
      <c r="J412">
        <v>433160</v>
      </c>
      <c r="K412" s="1">
        <v>97461</v>
      </c>
      <c r="L412" s="3">
        <f>(K412/I412)</f>
        <v>0.18367346938775511</v>
      </c>
      <c r="M412" s="2">
        <v>41760</v>
      </c>
      <c r="N412">
        <v>5</v>
      </c>
      <c r="O412" t="s">
        <v>17</v>
      </c>
      <c r="P412">
        <v>2014</v>
      </c>
    </row>
    <row r="413" spans="1:16" x14ac:dyDescent="0.25">
      <c r="A413" t="s">
        <v>14</v>
      </c>
      <c r="B413" t="s">
        <v>16</v>
      </c>
      <c r="C413" t="s">
        <v>10</v>
      </c>
      <c r="D413" t="s">
        <v>29</v>
      </c>
      <c r="E413">
        <v>5</v>
      </c>
      <c r="F413">
        <v>300</v>
      </c>
      <c r="G413">
        <v>96600</v>
      </c>
      <c r="H413">
        <v>8694</v>
      </c>
      <c r="I413" s="1">
        <v>87906</v>
      </c>
      <c r="J413">
        <v>80500</v>
      </c>
      <c r="K413" s="1">
        <v>7406</v>
      </c>
      <c r="L413" s="3">
        <f>(K413/I413)</f>
        <v>8.4249084249084255E-2</v>
      </c>
      <c r="M413" s="2">
        <v>41518</v>
      </c>
      <c r="N413">
        <v>9</v>
      </c>
      <c r="O413" t="s">
        <v>15</v>
      </c>
      <c r="P413">
        <v>2013</v>
      </c>
    </row>
    <row r="414" spans="1:16" x14ac:dyDescent="0.25">
      <c r="A414" t="s">
        <v>4</v>
      </c>
      <c r="B414" t="s">
        <v>7</v>
      </c>
      <c r="C414" t="s">
        <v>10</v>
      </c>
      <c r="D414" t="s">
        <v>29</v>
      </c>
      <c r="E414">
        <v>5</v>
      </c>
      <c r="F414">
        <v>12</v>
      </c>
      <c r="G414">
        <v>27852</v>
      </c>
      <c r="H414">
        <v>2506.6799999999998</v>
      </c>
      <c r="I414" s="1">
        <v>25345.32</v>
      </c>
      <c r="J414">
        <v>6963</v>
      </c>
      <c r="K414" s="1">
        <v>18382.32</v>
      </c>
      <c r="L414" s="3">
        <f>(K414/I414)</f>
        <v>0.72527472527472525</v>
      </c>
      <c r="M414" s="2">
        <v>41944</v>
      </c>
      <c r="N414">
        <v>11</v>
      </c>
      <c r="O414" t="s">
        <v>12</v>
      </c>
      <c r="P414">
        <v>2014</v>
      </c>
    </row>
    <row r="415" spans="1:16" x14ac:dyDescent="0.25">
      <c r="A415" t="s">
        <v>20</v>
      </c>
      <c r="B415" t="s">
        <v>16</v>
      </c>
      <c r="C415" t="s">
        <v>10</v>
      </c>
      <c r="D415" t="s">
        <v>29</v>
      </c>
      <c r="E415">
        <v>5</v>
      </c>
      <c r="F415">
        <v>125</v>
      </c>
      <c r="G415">
        <v>232125</v>
      </c>
      <c r="H415">
        <v>20891.25</v>
      </c>
      <c r="I415" s="1">
        <v>211233.75</v>
      </c>
      <c r="J415">
        <v>222840</v>
      </c>
      <c r="K415" s="1">
        <v>-11606.25</v>
      </c>
      <c r="L415" s="3">
        <f>(K415/I415)</f>
        <v>-5.4945054945054944E-2</v>
      </c>
      <c r="M415" s="2">
        <v>41579</v>
      </c>
      <c r="N415">
        <v>11</v>
      </c>
      <c r="O415" t="s">
        <v>9</v>
      </c>
      <c r="P415">
        <v>2013</v>
      </c>
    </row>
    <row r="416" spans="1:16" x14ac:dyDescent="0.25">
      <c r="A416" t="s">
        <v>8</v>
      </c>
      <c r="B416" t="s">
        <v>7</v>
      </c>
      <c r="C416" t="s">
        <v>10</v>
      </c>
      <c r="D416" t="s">
        <v>29</v>
      </c>
      <c r="E416">
        <v>5</v>
      </c>
      <c r="F416">
        <v>7</v>
      </c>
      <c r="G416">
        <v>11277</v>
      </c>
      <c r="H416">
        <v>1014.93</v>
      </c>
      <c r="I416" s="1">
        <v>10262.07</v>
      </c>
      <c r="J416">
        <v>8055</v>
      </c>
      <c r="K416" s="1">
        <v>2207.0699999999997</v>
      </c>
      <c r="L416" s="3">
        <f>(K416/I416)</f>
        <v>0.21507064364207218</v>
      </c>
      <c r="M416" s="2">
        <v>41609</v>
      </c>
      <c r="N416">
        <v>12</v>
      </c>
      <c r="O416" t="s">
        <v>5</v>
      </c>
      <c r="P416">
        <v>2013</v>
      </c>
    </row>
    <row r="417" spans="1:16" x14ac:dyDescent="0.25">
      <c r="A417" t="s">
        <v>20</v>
      </c>
      <c r="B417" t="s">
        <v>3</v>
      </c>
      <c r="C417" t="s">
        <v>10</v>
      </c>
      <c r="D417" t="s">
        <v>29</v>
      </c>
      <c r="E417">
        <v>5</v>
      </c>
      <c r="F417">
        <v>125</v>
      </c>
      <c r="G417">
        <v>349625</v>
      </c>
      <c r="H417">
        <v>31466.25</v>
      </c>
      <c r="I417" s="1">
        <v>318158.75</v>
      </c>
      <c r="J417">
        <v>335640</v>
      </c>
      <c r="K417" s="1">
        <v>-17481.25</v>
      </c>
      <c r="L417" s="3">
        <f>(K417/I417)</f>
        <v>-5.4945054945054944E-2</v>
      </c>
      <c r="M417" s="2">
        <v>41974</v>
      </c>
      <c r="N417">
        <v>12</v>
      </c>
      <c r="O417" t="s">
        <v>0</v>
      </c>
      <c r="P417">
        <v>2014</v>
      </c>
    </row>
    <row r="418" spans="1:16" x14ac:dyDescent="0.25">
      <c r="A418" t="s">
        <v>14</v>
      </c>
      <c r="B418" t="s">
        <v>19</v>
      </c>
      <c r="C418" t="s">
        <v>10</v>
      </c>
      <c r="D418" t="s">
        <v>29</v>
      </c>
      <c r="E418">
        <v>5</v>
      </c>
      <c r="F418">
        <v>300</v>
      </c>
      <c r="G418">
        <v>100200</v>
      </c>
      <c r="H418">
        <v>9018</v>
      </c>
      <c r="I418" s="1">
        <v>91182</v>
      </c>
      <c r="J418">
        <v>83500</v>
      </c>
      <c r="K418" s="1">
        <v>7682</v>
      </c>
      <c r="L418" s="3">
        <f>(K418/I418)</f>
        <v>8.4249084249084255E-2</v>
      </c>
      <c r="M418" s="2">
        <v>41609</v>
      </c>
      <c r="N418">
        <v>12</v>
      </c>
      <c r="O418" t="s">
        <v>26</v>
      </c>
      <c r="P418">
        <v>2013</v>
      </c>
    </row>
    <row r="419" spans="1:16" x14ac:dyDescent="0.25">
      <c r="A419" t="s">
        <v>14</v>
      </c>
      <c r="B419" t="s">
        <v>11</v>
      </c>
      <c r="C419" t="s">
        <v>6</v>
      </c>
      <c r="D419" t="s">
        <v>29</v>
      </c>
      <c r="E419">
        <v>10</v>
      </c>
      <c r="F419">
        <v>300</v>
      </c>
      <c r="G419">
        <v>769500</v>
      </c>
      <c r="H419">
        <v>69255</v>
      </c>
      <c r="I419" s="1">
        <v>700245</v>
      </c>
      <c r="J419">
        <v>641250</v>
      </c>
      <c r="K419" s="1">
        <v>58995</v>
      </c>
      <c r="L419" s="3">
        <f>(K419/I419)</f>
        <v>8.4249084249084255E-2</v>
      </c>
      <c r="M419" s="2">
        <v>41640</v>
      </c>
      <c r="N419">
        <v>1</v>
      </c>
      <c r="O419" t="s">
        <v>25</v>
      </c>
      <c r="P419">
        <v>2014</v>
      </c>
    </row>
    <row r="420" spans="1:16" x14ac:dyDescent="0.25">
      <c r="A420" t="s">
        <v>8</v>
      </c>
      <c r="B420" t="s">
        <v>11</v>
      </c>
      <c r="C420" t="s">
        <v>6</v>
      </c>
      <c r="D420" t="s">
        <v>29</v>
      </c>
      <c r="E420">
        <v>10</v>
      </c>
      <c r="F420">
        <v>350</v>
      </c>
      <c r="G420">
        <v>845950</v>
      </c>
      <c r="H420">
        <v>76135.5</v>
      </c>
      <c r="I420" s="1">
        <v>769814.5</v>
      </c>
      <c r="J420">
        <v>628420</v>
      </c>
      <c r="K420" s="1">
        <v>141394.5</v>
      </c>
      <c r="L420" s="3">
        <f>(K420/I420)</f>
        <v>0.18367346938775511</v>
      </c>
      <c r="M420" s="2">
        <v>41640</v>
      </c>
      <c r="N420">
        <v>1</v>
      </c>
      <c r="O420" t="s">
        <v>24</v>
      </c>
      <c r="P420">
        <v>2014</v>
      </c>
    </row>
    <row r="421" spans="1:16" x14ac:dyDescent="0.25">
      <c r="A421" t="s">
        <v>23</v>
      </c>
      <c r="B421" t="s">
        <v>3</v>
      </c>
      <c r="C421" t="s">
        <v>6</v>
      </c>
      <c r="D421" t="s">
        <v>29</v>
      </c>
      <c r="E421">
        <v>10</v>
      </c>
      <c r="F421">
        <v>15</v>
      </c>
      <c r="G421">
        <v>55125</v>
      </c>
      <c r="H421">
        <v>4961.25</v>
      </c>
      <c r="I421" s="1">
        <v>50163.75</v>
      </c>
      <c r="J421">
        <v>36750</v>
      </c>
      <c r="K421" s="1">
        <v>13413.75</v>
      </c>
      <c r="L421" s="3">
        <f>(K421/I421)</f>
        <v>0.26739926739926739</v>
      </c>
      <c r="M421" s="2">
        <v>41730</v>
      </c>
      <c r="N421">
        <v>4</v>
      </c>
      <c r="O421" t="s">
        <v>22</v>
      </c>
      <c r="P421">
        <v>2014</v>
      </c>
    </row>
    <row r="422" spans="1:16" x14ac:dyDescent="0.25">
      <c r="A422" t="s">
        <v>14</v>
      </c>
      <c r="B422" t="s">
        <v>7</v>
      </c>
      <c r="C422" t="s">
        <v>6</v>
      </c>
      <c r="D422" t="s">
        <v>29</v>
      </c>
      <c r="E422">
        <v>10</v>
      </c>
      <c r="F422">
        <v>300</v>
      </c>
      <c r="G422">
        <v>328200</v>
      </c>
      <c r="H422">
        <v>29538</v>
      </c>
      <c r="I422" s="1">
        <v>298662</v>
      </c>
      <c r="J422">
        <v>273500</v>
      </c>
      <c r="K422" s="1">
        <v>25162</v>
      </c>
      <c r="L422" s="3">
        <f>(K422/I422)</f>
        <v>8.4249084249084255E-2</v>
      </c>
      <c r="M422" s="2">
        <v>41791</v>
      </c>
      <c r="N422">
        <v>6</v>
      </c>
      <c r="O422" t="s">
        <v>21</v>
      </c>
      <c r="P422">
        <v>2014</v>
      </c>
    </row>
    <row r="423" spans="1:16" x14ac:dyDescent="0.25">
      <c r="A423" t="s">
        <v>23</v>
      </c>
      <c r="B423" t="s">
        <v>16</v>
      </c>
      <c r="C423" t="s">
        <v>6</v>
      </c>
      <c r="D423" t="s">
        <v>29</v>
      </c>
      <c r="E423">
        <v>10</v>
      </c>
      <c r="F423">
        <v>15</v>
      </c>
      <c r="G423">
        <v>18405</v>
      </c>
      <c r="H423">
        <v>1656.45</v>
      </c>
      <c r="I423" s="1">
        <v>16748.55</v>
      </c>
      <c r="J423">
        <v>12270</v>
      </c>
      <c r="K423" s="1">
        <v>4478.5499999999993</v>
      </c>
      <c r="L423" s="3">
        <f>(K423/I423)</f>
        <v>0.26739926739926739</v>
      </c>
      <c r="M423" s="2">
        <v>41913</v>
      </c>
      <c r="N423">
        <v>10</v>
      </c>
      <c r="O423" t="s">
        <v>18</v>
      </c>
      <c r="P423">
        <v>2014</v>
      </c>
    </row>
    <row r="424" spans="1:16" x14ac:dyDescent="0.25">
      <c r="A424" t="s">
        <v>4</v>
      </c>
      <c r="B424" t="s">
        <v>11</v>
      </c>
      <c r="C424" t="s">
        <v>6</v>
      </c>
      <c r="D424" t="s">
        <v>29</v>
      </c>
      <c r="E424">
        <v>10</v>
      </c>
      <c r="F424">
        <v>12</v>
      </c>
      <c r="G424">
        <v>4404</v>
      </c>
      <c r="H424">
        <v>396.36</v>
      </c>
      <c r="I424" s="1">
        <v>4007.64</v>
      </c>
      <c r="J424">
        <v>1101</v>
      </c>
      <c r="K424" s="1">
        <v>2906.64</v>
      </c>
      <c r="L424" s="3">
        <f>(K424/I424)</f>
        <v>0.72527472527472525</v>
      </c>
      <c r="M424" s="2">
        <v>41548</v>
      </c>
      <c r="N424">
        <v>10</v>
      </c>
      <c r="O424" t="s">
        <v>17</v>
      </c>
      <c r="P424">
        <v>2013</v>
      </c>
    </row>
    <row r="425" spans="1:16" x14ac:dyDescent="0.25">
      <c r="A425" t="s">
        <v>14</v>
      </c>
      <c r="B425" t="s">
        <v>16</v>
      </c>
      <c r="C425" t="s">
        <v>6</v>
      </c>
      <c r="D425" t="s">
        <v>29</v>
      </c>
      <c r="E425">
        <v>10</v>
      </c>
      <c r="F425">
        <v>300</v>
      </c>
      <c r="G425">
        <v>397200</v>
      </c>
      <c r="H425">
        <v>35748</v>
      </c>
      <c r="I425" s="1">
        <v>361452</v>
      </c>
      <c r="J425">
        <v>331000</v>
      </c>
      <c r="K425" s="1">
        <v>30452</v>
      </c>
      <c r="L425" s="3">
        <f>(K425/I425)</f>
        <v>8.4249084249084255E-2</v>
      </c>
      <c r="M425" s="2">
        <v>41944</v>
      </c>
      <c r="N425">
        <v>11</v>
      </c>
      <c r="O425" t="s">
        <v>15</v>
      </c>
      <c r="P425">
        <v>2014</v>
      </c>
    </row>
    <row r="426" spans="1:16" x14ac:dyDescent="0.25">
      <c r="A426" t="s">
        <v>4</v>
      </c>
      <c r="B426" t="s">
        <v>19</v>
      </c>
      <c r="C426" t="s">
        <v>6</v>
      </c>
      <c r="D426" t="s">
        <v>29</v>
      </c>
      <c r="E426">
        <v>10</v>
      </c>
      <c r="F426">
        <v>12</v>
      </c>
      <c r="G426">
        <v>21300</v>
      </c>
      <c r="H426">
        <v>1917</v>
      </c>
      <c r="I426" s="1">
        <v>19383</v>
      </c>
      <c r="J426">
        <v>5325</v>
      </c>
      <c r="K426" s="1">
        <v>14058</v>
      </c>
      <c r="L426" s="3">
        <f>(K426/I426)</f>
        <v>0.72527472527472525</v>
      </c>
      <c r="M426" s="2">
        <v>41579</v>
      </c>
      <c r="N426">
        <v>11</v>
      </c>
      <c r="O426" t="s">
        <v>12</v>
      </c>
      <c r="P426">
        <v>2013</v>
      </c>
    </row>
    <row r="427" spans="1:16" x14ac:dyDescent="0.25">
      <c r="A427" t="s">
        <v>20</v>
      </c>
      <c r="B427" t="s">
        <v>3</v>
      </c>
      <c r="C427" t="s">
        <v>6</v>
      </c>
      <c r="D427" t="s">
        <v>29</v>
      </c>
      <c r="E427">
        <v>10</v>
      </c>
      <c r="F427">
        <v>125</v>
      </c>
      <c r="G427">
        <v>349625</v>
      </c>
      <c r="H427">
        <v>31466.25</v>
      </c>
      <c r="I427" s="1">
        <v>318158.75</v>
      </c>
      <c r="J427">
        <v>335640</v>
      </c>
      <c r="K427" s="1">
        <v>-17481.25</v>
      </c>
      <c r="L427" s="3">
        <f>(K427/I427)</f>
        <v>-5.4945054945054944E-2</v>
      </c>
      <c r="M427" s="2">
        <v>41974</v>
      </c>
      <c r="N427">
        <v>12</v>
      </c>
      <c r="O427" t="s">
        <v>9</v>
      </c>
      <c r="P427">
        <v>2014</v>
      </c>
    </row>
    <row r="428" spans="1:16" x14ac:dyDescent="0.25">
      <c r="A428" t="s">
        <v>23</v>
      </c>
      <c r="B428" t="s">
        <v>11</v>
      </c>
      <c r="C428" t="s">
        <v>27</v>
      </c>
      <c r="D428" t="s">
        <v>29</v>
      </c>
      <c r="E428">
        <v>120</v>
      </c>
      <c r="F428">
        <v>15</v>
      </c>
      <c r="G428">
        <v>3675</v>
      </c>
      <c r="H428">
        <v>330.75</v>
      </c>
      <c r="I428" s="1">
        <v>3344.25</v>
      </c>
      <c r="J428">
        <v>2450</v>
      </c>
      <c r="K428" s="1">
        <v>894.25</v>
      </c>
      <c r="L428" s="3">
        <f>(K428/I428)</f>
        <v>0.26739926739926739</v>
      </c>
      <c r="M428" s="2">
        <v>41760</v>
      </c>
      <c r="N428">
        <v>5</v>
      </c>
      <c r="O428" t="s">
        <v>5</v>
      </c>
      <c r="P428">
        <v>2014</v>
      </c>
    </row>
    <row r="429" spans="1:16" x14ac:dyDescent="0.25">
      <c r="A429" t="s">
        <v>14</v>
      </c>
      <c r="B429" t="s">
        <v>7</v>
      </c>
      <c r="C429" t="s">
        <v>27</v>
      </c>
      <c r="D429" t="s">
        <v>29</v>
      </c>
      <c r="E429">
        <v>120</v>
      </c>
      <c r="F429">
        <v>300</v>
      </c>
      <c r="G429">
        <v>1138050</v>
      </c>
      <c r="H429">
        <v>102424.5</v>
      </c>
      <c r="I429" s="1">
        <v>1035625.5</v>
      </c>
      <c r="J429">
        <v>948375</v>
      </c>
      <c r="K429" s="1">
        <v>87250.5</v>
      </c>
      <c r="L429" s="3">
        <f>(K429/I429)</f>
        <v>8.4249084249084255E-2</v>
      </c>
      <c r="M429" s="2">
        <v>41821</v>
      </c>
      <c r="N429">
        <v>7</v>
      </c>
      <c r="O429" t="s">
        <v>0</v>
      </c>
      <c r="P429">
        <v>2014</v>
      </c>
    </row>
    <row r="430" spans="1:16" x14ac:dyDescent="0.25">
      <c r="A430" t="s">
        <v>8</v>
      </c>
      <c r="B430" t="s">
        <v>19</v>
      </c>
      <c r="C430" t="s">
        <v>27</v>
      </c>
      <c r="D430" t="s">
        <v>29</v>
      </c>
      <c r="E430">
        <v>120</v>
      </c>
      <c r="F430">
        <v>350</v>
      </c>
      <c r="G430">
        <v>457450</v>
      </c>
      <c r="H430">
        <v>41170.5</v>
      </c>
      <c r="I430" s="1">
        <v>416279.5</v>
      </c>
      <c r="J430">
        <v>339820</v>
      </c>
      <c r="K430" s="1">
        <v>76459.5</v>
      </c>
      <c r="L430" s="3">
        <f>(K430/I430)</f>
        <v>0.18367346938775511</v>
      </c>
      <c r="M430" s="2">
        <v>41821</v>
      </c>
      <c r="N430">
        <v>7</v>
      </c>
      <c r="O430" t="s">
        <v>26</v>
      </c>
      <c r="P430">
        <v>2014</v>
      </c>
    </row>
    <row r="431" spans="1:16" x14ac:dyDescent="0.25">
      <c r="A431" t="s">
        <v>20</v>
      </c>
      <c r="B431" t="s">
        <v>7</v>
      </c>
      <c r="C431" t="s">
        <v>27</v>
      </c>
      <c r="D431" t="s">
        <v>29</v>
      </c>
      <c r="E431">
        <v>120</v>
      </c>
      <c r="F431">
        <v>125</v>
      </c>
      <c r="G431">
        <v>70875</v>
      </c>
      <c r="H431">
        <v>6378.75</v>
      </c>
      <c r="I431" s="1">
        <v>64496.25</v>
      </c>
      <c r="J431">
        <v>68040</v>
      </c>
      <c r="K431" s="1">
        <v>-3543.75</v>
      </c>
      <c r="L431" s="3">
        <f>(K431/I431)</f>
        <v>-5.4945054945054944E-2</v>
      </c>
      <c r="M431" s="2">
        <v>41883</v>
      </c>
      <c r="N431">
        <v>9</v>
      </c>
      <c r="O431" t="s">
        <v>25</v>
      </c>
      <c r="P431">
        <v>2014</v>
      </c>
    </row>
    <row r="432" spans="1:16" x14ac:dyDescent="0.25">
      <c r="A432" t="s">
        <v>20</v>
      </c>
      <c r="B432" t="s">
        <v>11</v>
      </c>
      <c r="C432" t="s">
        <v>27</v>
      </c>
      <c r="D432" t="s">
        <v>29</v>
      </c>
      <c r="E432">
        <v>120</v>
      </c>
      <c r="F432">
        <v>125</v>
      </c>
      <c r="G432">
        <v>263750</v>
      </c>
      <c r="H432">
        <v>23737.5</v>
      </c>
      <c r="I432" s="1">
        <v>240012.5</v>
      </c>
      <c r="J432">
        <v>253200</v>
      </c>
      <c r="K432" s="1">
        <v>-13187.5</v>
      </c>
      <c r="L432" s="3">
        <f>(K432/I432)</f>
        <v>-5.4945054945054944E-2</v>
      </c>
      <c r="M432" s="2">
        <v>41883</v>
      </c>
      <c r="N432">
        <v>9</v>
      </c>
      <c r="O432" t="s">
        <v>24</v>
      </c>
      <c r="P432">
        <v>2014</v>
      </c>
    </row>
    <row r="433" spans="1:16" x14ac:dyDescent="0.25">
      <c r="A433" t="s">
        <v>8</v>
      </c>
      <c r="B433" t="s">
        <v>7</v>
      </c>
      <c r="C433" t="s">
        <v>27</v>
      </c>
      <c r="D433" t="s">
        <v>29</v>
      </c>
      <c r="E433">
        <v>120</v>
      </c>
      <c r="F433">
        <v>350</v>
      </c>
      <c r="G433">
        <v>444150</v>
      </c>
      <c r="H433">
        <v>39973.5</v>
      </c>
      <c r="I433" s="1">
        <v>404176.5</v>
      </c>
      <c r="J433">
        <v>329940</v>
      </c>
      <c r="K433" s="1">
        <v>74236.5</v>
      </c>
      <c r="L433" s="3">
        <f>(K433/I433)</f>
        <v>0.18367346938775511</v>
      </c>
      <c r="M433" s="2">
        <v>41913</v>
      </c>
      <c r="N433">
        <v>10</v>
      </c>
      <c r="O433" t="s">
        <v>22</v>
      </c>
      <c r="P433">
        <v>2014</v>
      </c>
    </row>
    <row r="434" spans="1:16" x14ac:dyDescent="0.25">
      <c r="A434" t="s">
        <v>4</v>
      </c>
      <c r="B434" t="s">
        <v>3</v>
      </c>
      <c r="C434" t="s">
        <v>2</v>
      </c>
      <c r="D434" t="s">
        <v>29</v>
      </c>
      <c r="E434">
        <v>250</v>
      </c>
      <c r="F434">
        <v>12</v>
      </c>
      <c r="G434">
        <v>23472</v>
      </c>
      <c r="H434">
        <v>2112.48</v>
      </c>
      <c r="I434" s="1">
        <v>21359.52</v>
      </c>
      <c r="J434">
        <v>5868</v>
      </c>
      <c r="K434" s="1">
        <v>15491.52</v>
      </c>
      <c r="L434" s="3">
        <f>(K434/I434)</f>
        <v>0.72527472527472525</v>
      </c>
      <c r="M434" s="2">
        <v>41640</v>
      </c>
      <c r="N434">
        <v>1</v>
      </c>
      <c r="O434" t="s">
        <v>21</v>
      </c>
      <c r="P434">
        <v>2014</v>
      </c>
    </row>
    <row r="435" spans="1:16" x14ac:dyDescent="0.25">
      <c r="A435" t="s">
        <v>14</v>
      </c>
      <c r="B435" t="s">
        <v>19</v>
      </c>
      <c r="C435" t="s">
        <v>2</v>
      </c>
      <c r="D435" t="s">
        <v>29</v>
      </c>
      <c r="E435">
        <v>250</v>
      </c>
      <c r="F435">
        <v>300</v>
      </c>
      <c r="G435">
        <v>797700</v>
      </c>
      <c r="H435">
        <v>71793</v>
      </c>
      <c r="I435" s="1">
        <v>725907</v>
      </c>
      <c r="J435">
        <v>664750</v>
      </c>
      <c r="K435" s="1">
        <v>61157</v>
      </c>
      <c r="L435" s="3">
        <f>(K435/I435)</f>
        <v>8.4249084249084255E-2</v>
      </c>
      <c r="M435" s="2">
        <v>41671</v>
      </c>
      <c r="N435">
        <v>2</v>
      </c>
      <c r="O435" t="s">
        <v>18</v>
      </c>
      <c r="P435">
        <v>2014</v>
      </c>
    </row>
    <row r="436" spans="1:16" x14ac:dyDescent="0.25">
      <c r="A436" t="s">
        <v>8</v>
      </c>
      <c r="B436" t="s">
        <v>3</v>
      </c>
      <c r="C436" t="s">
        <v>2</v>
      </c>
      <c r="D436" t="s">
        <v>29</v>
      </c>
      <c r="E436">
        <v>250</v>
      </c>
      <c r="F436">
        <v>350</v>
      </c>
      <c r="G436">
        <v>473025</v>
      </c>
      <c r="H436">
        <v>42572.25</v>
      </c>
      <c r="I436" s="1">
        <v>430452.75</v>
      </c>
      <c r="J436">
        <v>351390</v>
      </c>
      <c r="K436" s="1">
        <v>79062.75</v>
      </c>
      <c r="L436" s="3">
        <f>(K436/I436)</f>
        <v>0.18367346938775511</v>
      </c>
      <c r="M436" s="2">
        <v>41730</v>
      </c>
      <c r="N436">
        <v>4</v>
      </c>
      <c r="O436" t="s">
        <v>17</v>
      </c>
      <c r="P436">
        <v>2014</v>
      </c>
    </row>
    <row r="437" spans="1:16" x14ac:dyDescent="0.25">
      <c r="A437" t="s">
        <v>4</v>
      </c>
      <c r="B437" t="s">
        <v>19</v>
      </c>
      <c r="C437" t="s">
        <v>2</v>
      </c>
      <c r="D437" t="s">
        <v>29</v>
      </c>
      <c r="E437">
        <v>250</v>
      </c>
      <c r="F437">
        <v>12</v>
      </c>
      <c r="G437">
        <v>10560</v>
      </c>
      <c r="H437">
        <v>950.4</v>
      </c>
      <c r="I437" s="1">
        <v>9609.6</v>
      </c>
      <c r="J437">
        <v>2640</v>
      </c>
      <c r="K437" s="1">
        <v>6969.6</v>
      </c>
      <c r="L437" s="3">
        <f>(K437/I437)</f>
        <v>0.72527472527472525</v>
      </c>
      <c r="M437" s="2">
        <v>41760</v>
      </c>
      <c r="N437">
        <v>5</v>
      </c>
      <c r="O437" t="s">
        <v>15</v>
      </c>
      <c r="P437">
        <v>2014</v>
      </c>
    </row>
    <row r="438" spans="1:16" x14ac:dyDescent="0.25">
      <c r="A438" t="s">
        <v>14</v>
      </c>
      <c r="B438" t="s">
        <v>3</v>
      </c>
      <c r="C438" t="s">
        <v>2</v>
      </c>
      <c r="D438" t="s">
        <v>29</v>
      </c>
      <c r="E438">
        <v>250</v>
      </c>
      <c r="F438">
        <v>300</v>
      </c>
      <c r="G438">
        <v>560100</v>
      </c>
      <c r="H438">
        <v>50409</v>
      </c>
      <c r="I438" s="1">
        <v>509691</v>
      </c>
      <c r="J438">
        <v>466750</v>
      </c>
      <c r="K438" s="1">
        <v>42941</v>
      </c>
      <c r="L438" s="3">
        <f>(K438/I438)</f>
        <v>8.4249084249084255E-2</v>
      </c>
      <c r="M438" s="2">
        <v>41883</v>
      </c>
      <c r="N438">
        <v>9</v>
      </c>
      <c r="O438" t="s">
        <v>12</v>
      </c>
      <c r="P438">
        <v>2014</v>
      </c>
    </row>
    <row r="439" spans="1:16" x14ac:dyDescent="0.25">
      <c r="A439" t="s">
        <v>4</v>
      </c>
      <c r="B439" t="s">
        <v>16</v>
      </c>
      <c r="C439" t="s">
        <v>2</v>
      </c>
      <c r="D439" t="s">
        <v>29</v>
      </c>
      <c r="E439">
        <v>250</v>
      </c>
      <c r="F439">
        <v>12</v>
      </c>
      <c r="G439">
        <v>26808</v>
      </c>
      <c r="H439">
        <v>2412.7199999999998</v>
      </c>
      <c r="I439" s="1">
        <v>24395.279999999999</v>
      </c>
      <c r="J439">
        <v>6702</v>
      </c>
      <c r="K439" s="1">
        <v>17693.28</v>
      </c>
      <c r="L439" s="3">
        <f>(K439/I439)</f>
        <v>0.72527472527472525</v>
      </c>
      <c r="M439" s="2">
        <v>41518</v>
      </c>
      <c r="N439">
        <v>9</v>
      </c>
      <c r="O439" t="s">
        <v>9</v>
      </c>
      <c r="P439">
        <v>2013</v>
      </c>
    </row>
    <row r="440" spans="1:16" x14ac:dyDescent="0.25">
      <c r="A440" t="s">
        <v>23</v>
      </c>
      <c r="B440" t="s">
        <v>16</v>
      </c>
      <c r="C440" t="s">
        <v>2</v>
      </c>
      <c r="D440" t="s">
        <v>29</v>
      </c>
      <c r="E440">
        <v>250</v>
      </c>
      <c r="F440">
        <v>15</v>
      </c>
      <c r="G440">
        <v>18405</v>
      </c>
      <c r="H440">
        <v>1656.45</v>
      </c>
      <c r="I440" s="1">
        <v>16748.55</v>
      </c>
      <c r="J440">
        <v>12270</v>
      </c>
      <c r="K440" s="1">
        <v>4478.5499999999993</v>
      </c>
      <c r="L440" s="3">
        <f>(K440/I440)</f>
        <v>0.26739926739926739</v>
      </c>
      <c r="M440" s="2">
        <v>41913</v>
      </c>
      <c r="N440">
        <v>10</v>
      </c>
      <c r="O440" t="s">
        <v>5</v>
      </c>
      <c r="P440">
        <v>2014</v>
      </c>
    </row>
    <row r="441" spans="1:16" x14ac:dyDescent="0.25">
      <c r="A441" t="s">
        <v>20</v>
      </c>
      <c r="B441" t="s">
        <v>11</v>
      </c>
      <c r="C441" t="s">
        <v>2</v>
      </c>
      <c r="D441" t="s">
        <v>29</v>
      </c>
      <c r="E441">
        <v>250</v>
      </c>
      <c r="F441">
        <v>125</v>
      </c>
      <c r="G441">
        <v>109625</v>
      </c>
      <c r="H441">
        <v>9866.25</v>
      </c>
      <c r="I441" s="1">
        <v>99758.75</v>
      </c>
      <c r="J441">
        <v>105240</v>
      </c>
      <c r="K441" s="1">
        <v>-5481.25</v>
      </c>
      <c r="L441" s="3">
        <f>(K441/I441)</f>
        <v>-5.4945054945054944E-2</v>
      </c>
      <c r="M441" s="2">
        <v>41944</v>
      </c>
      <c r="N441">
        <v>11</v>
      </c>
      <c r="O441" t="s">
        <v>0</v>
      </c>
      <c r="P441">
        <v>2014</v>
      </c>
    </row>
    <row r="442" spans="1:16" x14ac:dyDescent="0.25">
      <c r="A442" t="s">
        <v>8</v>
      </c>
      <c r="B442" t="s">
        <v>3</v>
      </c>
      <c r="C442" t="s">
        <v>13</v>
      </c>
      <c r="D442" t="s">
        <v>29</v>
      </c>
      <c r="E442">
        <v>260</v>
      </c>
      <c r="F442">
        <v>350</v>
      </c>
      <c r="G442">
        <v>724850</v>
      </c>
      <c r="H442">
        <v>65236.5</v>
      </c>
      <c r="I442" s="1">
        <v>659613.5</v>
      </c>
      <c r="J442">
        <v>538460</v>
      </c>
      <c r="K442" s="1">
        <v>121153.5</v>
      </c>
      <c r="L442" s="3">
        <f>(K442/I442)</f>
        <v>0.18367346938775511</v>
      </c>
      <c r="M442" s="2">
        <v>41883</v>
      </c>
      <c r="N442">
        <v>9</v>
      </c>
      <c r="O442" t="s">
        <v>26</v>
      </c>
      <c r="P442">
        <v>2014</v>
      </c>
    </row>
    <row r="443" spans="1:16" x14ac:dyDescent="0.25">
      <c r="A443" t="s">
        <v>8</v>
      </c>
      <c r="B443" t="s">
        <v>7</v>
      </c>
      <c r="C443" t="s">
        <v>13</v>
      </c>
      <c r="D443" t="s">
        <v>29</v>
      </c>
      <c r="E443">
        <v>260</v>
      </c>
      <c r="F443">
        <v>350</v>
      </c>
      <c r="G443">
        <v>444150</v>
      </c>
      <c r="H443">
        <v>39973.5</v>
      </c>
      <c r="I443" s="1">
        <v>404176.5</v>
      </c>
      <c r="J443">
        <v>329940</v>
      </c>
      <c r="K443" s="1">
        <v>74236.5</v>
      </c>
      <c r="L443" s="3">
        <f>(K443/I443)</f>
        <v>0.18367346938775511</v>
      </c>
      <c r="M443" s="2">
        <v>41913</v>
      </c>
      <c r="N443">
        <v>10</v>
      </c>
      <c r="O443" t="s">
        <v>25</v>
      </c>
      <c r="P443">
        <v>2014</v>
      </c>
    </row>
    <row r="444" spans="1:16" x14ac:dyDescent="0.25">
      <c r="A444" t="s">
        <v>23</v>
      </c>
      <c r="B444" t="s">
        <v>19</v>
      </c>
      <c r="C444" t="s">
        <v>13</v>
      </c>
      <c r="D444" t="s">
        <v>29</v>
      </c>
      <c r="E444">
        <v>260</v>
      </c>
      <c r="F444">
        <v>15</v>
      </c>
      <c r="G444">
        <v>14550</v>
      </c>
      <c r="H444">
        <v>1309.5</v>
      </c>
      <c r="I444" s="1">
        <v>13240.5</v>
      </c>
      <c r="J444">
        <v>9700</v>
      </c>
      <c r="K444" s="1">
        <v>3540.5</v>
      </c>
      <c r="L444" s="3">
        <f>(K444/I444)</f>
        <v>0.26739926739926739</v>
      </c>
      <c r="M444" s="2">
        <v>41579</v>
      </c>
      <c r="N444">
        <v>11</v>
      </c>
      <c r="O444" t="s">
        <v>24</v>
      </c>
      <c r="P444">
        <v>2013</v>
      </c>
    </row>
    <row r="445" spans="1:16" x14ac:dyDescent="0.25">
      <c r="A445" t="s">
        <v>8</v>
      </c>
      <c r="B445" t="s">
        <v>11</v>
      </c>
      <c r="C445" t="s">
        <v>13</v>
      </c>
      <c r="D445" t="s">
        <v>29</v>
      </c>
      <c r="E445">
        <v>260</v>
      </c>
      <c r="F445">
        <v>20</v>
      </c>
      <c r="G445">
        <v>33880</v>
      </c>
      <c r="H445">
        <v>3049.2</v>
      </c>
      <c r="I445" s="1">
        <v>30830.799999999999</v>
      </c>
      <c r="J445">
        <v>16940</v>
      </c>
      <c r="K445" s="1">
        <v>13890.8</v>
      </c>
      <c r="L445" s="3">
        <f>(K445/I445)</f>
        <v>0.45054945054945056</v>
      </c>
      <c r="M445" s="2">
        <v>41944</v>
      </c>
      <c r="N445">
        <v>11</v>
      </c>
      <c r="O445" t="s">
        <v>22</v>
      </c>
      <c r="P445">
        <v>2014</v>
      </c>
    </row>
    <row r="446" spans="1:16" x14ac:dyDescent="0.25">
      <c r="A446" t="s">
        <v>8</v>
      </c>
      <c r="B446" t="s">
        <v>19</v>
      </c>
      <c r="C446" t="s">
        <v>28</v>
      </c>
      <c r="D446" t="s">
        <v>29</v>
      </c>
      <c r="E446">
        <v>3</v>
      </c>
      <c r="F446">
        <v>20</v>
      </c>
      <c r="G446">
        <v>13260</v>
      </c>
      <c r="H446">
        <v>1193.4000000000001</v>
      </c>
      <c r="I446" s="1">
        <v>12066.6</v>
      </c>
      <c r="J446">
        <v>6630</v>
      </c>
      <c r="K446" s="1">
        <v>5436.6</v>
      </c>
      <c r="L446" s="3">
        <f>(K446/I446)</f>
        <v>0.45054945054945056</v>
      </c>
      <c r="M446" s="2">
        <v>41760</v>
      </c>
      <c r="N446">
        <v>5</v>
      </c>
      <c r="O446" t="s">
        <v>21</v>
      </c>
      <c r="P446">
        <v>2014</v>
      </c>
    </row>
    <row r="447" spans="1:16" x14ac:dyDescent="0.25">
      <c r="A447" t="s">
        <v>8</v>
      </c>
      <c r="B447" t="s">
        <v>7</v>
      </c>
      <c r="C447" t="s">
        <v>28</v>
      </c>
      <c r="D447" t="s">
        <v>29</v>
      </c>
      <c r="E447">
        <v>3</v>
      </c>
      <c r="F447">
        <v>7</v>
      </c>
      <c r="G447">
        <v>5733</v>
      </c>
      <c r="H447">
        <v>515.97</v>
      </c>
      <c r="I447" s="1">
        <v>5217.03</v>
      </c>
      <c r="J447">
        <v>4095</v>
      </c>
      <c r="K447" s="1">
        <v>1122.03</v>
      </c>
      <c r="L447" s="3">
        <f>(K447/I447)</f>
        <v>0.21507064364207221</v>
      </c>
      <c r="M447" s="2">
        <v>41821</v>
      </c>
      <c r="N447">
        <v>7</v>
      </c>
      <c r="O447" t="s">
        <v>18</v>
      </c>
      <c r="P447">
        <v>2014</v>
      </c>
    </row>
    <row r="448" spans="1:16" x14ac:dyDescent="0.25">
      <c r="A448" t="s">
        <v>4</v>
      </c>
      <c r="B448" t="s">
        <v>19</v>
      </c>
      <c r="C448" t="s">
        <v>28</v>
      </c>
      <c r="D448" t="s">
        <v>29</v>
      </c>
      <c r="E448">
        <v>3</v>
      </c>
      <c r="F448">
        <v>12</v>
      </c>
      <c r="G448">
        <v>18960</v>
      </c>
      <c r="H448">
        <v>1706.4</v>
      </c>
      <c r="I448" s="1">
        <v>17253.599999999999</v>
      </c>
      <c r="J448">
        <v>4740</v>
      </c>
      <c r="K448" s="1">
        <v>12513.599999999999</v>
      </c>
      <c r="L448" s="3">
        <f>(K448/I448)</f>
        <v>0.72527472527472525</v>
      </c>
      <c r="M448" s="2">
        <v>41883</v>
      </c>
      <c r="N448">
        <v>9</v>
      </c>
      <c r="O448" t="s">
        <v>17</v>
      </c>
      <c r="P448">
        <v>2014</v>
      </c>
    </row>
    <row r="449" spans="1:16" x14ac:dyDescent="0.25">
      <c r="A449" t="s">
        <v>8</v>
      </c>
      <c r="B449" t="s">
        <v>11</v>
      </c>
      <c r="C449" t="s">
        <v>28</v>
      </c>
      <c r="D449" t="s">
        <v>29</v>
      </c>
      <c r="E449">
        <v>3</v>
      </c>
      <c r="F449">
        <v>7</v>
      </c>
      <c r="G449">
        <v>3647</v>
      </c>
      <c r="H449">
        <v>328.23</v>
      </c>
      <c r="I449" s="1">
        <v>3318.77</v>
      </c>
      <c r="J449">
        <v>2605</v>
      </c>
      <c r="K449" s="1">
        <v>713.77</v>
      </c>
      <c r="L449" s="3">
        <f>(K449/I449)</f>
        <v>0.21507064364207221</v>
      </c>
      <c r="M449" s="2">
        <v>41974</v>
      </c>
      <c r="N449">
        <v>12</v>
      </c>
      <c r="O449" t="s">
        <v>15</v>
      </c>
      <c r="P449">
        <v>2014</v>
      </c>
    </row>
    <row r="450" spans="1:16" x14ac:dyDescent="0.25">
      <c r="A450" t="s">
        <v>8</v>
      </c>
      <c r="B450" t="s">
        <v>3</v>
      </c>
      <c r="C450" t="s">
        <v>6</v>
      </c>
      <c r="D450" t="s">
        <v>29</v>
      </c>
      <c r="E450">
        <v>10</v>
      </c>
      <c r="F450">
        <v>20</v>
      </c>
      <c r="G450">
        <v>19460</v>
      </c>
      <c r="H450">
        <v>1751.4</v>
      </c>
      <c r="I450" s="1">
        <v>17708.599999999999</v>
      </c>
      <c r="J450">
        <v>9730</v>
      </c>
      <c r="K450" s="1">
        <v>7978.5999999999985</v>
      </c>
      <c r="L450" s="3">
        <f>(K450/I450)</f>
        <v>0.4505494505494505</v>
      </c>
      <c r="M450" s="2">
        <v>41699</v>
      </c>
      <c r="N450">
        <v>3</v>
      </c>
      <c r="O450" t="s">
        <v>12</v>
      </c>
      <c r="P450">
        <v>2014</v>
      </c>
    </row>
    <row r="451" spans="1:16" x14ac:dyDescent="0.25">
      <c r="A451" t="s">
        <v>8</v>
      </c>
      <c r="B451" t="s">
        <v>11</v>
      </c>
      <c r="C451" t="s">
        <v>6</v>
      </c>
      <c r="D451" t="s">
        <v>29</v>
      </c>
      <c r="E451">
        <v>10</v>
      </c>
      <c r="F451">
        <v>20</v>
      </c>
      <c r="G451">
        <v>20760</v>
      </c>
      <c r="H451">
        <v>1868.4</v>
      </c>
      <c r="I451" s="1">
        <v>18891.599999999999</v>
      </c>
      <c r="J451">
        <v>10380</v>
      </c>
      <c r="K451" s="1">
        <v>8511.5999999999985</v>
      </c>
      <c r="L451" s="3">
        <f>(K451/I451)</f>
        <v>0.4505494505494505</v>
      </c>
      <c r="M451" s="2">
        <v>41791</v>
      </c>
      <c r="N451">
        <v>6</v>
      </c>
      <c r="O451" t="s">
        <v>9</v>
      </c>
      <c r="P451">
        <v>2014</v>
      </c>
    </row>
    <row r="452" spans="1:16" x14ac:dyDescent="0.25">
      <c r="A452" t="s">
        <v>8</v>
      </c>
      <c r="B452" t="s">
        <v>19</v>
      </c>
      <c r="C452" t="s">
        <v>6</v>
      </c>
      <c r="D452" t="s">
        <v>29</v>
      </c>
      <c r="E452">
        <v>10</v>
      </c>
      <c r="F452">
        <v>7</v>
      </c>
      <c r="G452">
        <v>2520</v>
      </c>
      <c r="H452">
        <v>226.8</v>
      </c>
      <c r="I452" s="1">
        <v>2293.1999999999998</v>
      </c>
      <c r="J452">
        <v>1800</v>
      </c>
      <c r="K452" s="1">
        <v>493.19999999999982</v>
      </c>
      <c r="L452" s="3">
        <f>(K452/I452)</f>
        <v>0.21507064364207215</v>
      </c>
      <c r="M452" s="2">
        <v>41913</v>
      </c>
      <c r="N452">
        <v>10</v>
      </c>
      <c r="O452" t="s">
        <v>5</v>
      </c>
      <c r="P452">
        <v>2014</v>
      </c>
    </row>
    <row r="453" spans="1:16" x14ac:dyDescent="0.25">
      <c r="A453" t="s">
        <v>4</v>
      </c>
      <c r="B453" t="s">
        <v>16</v>
      </c>
      <c r="C453" t="s">
        <v>27</v>
      </c>
      <c r="D453" t="s">
        <v>29</v>
      </c>
      <c r="E453">
        <v>120</v>
      </c>
      <c r="F453">
        <v>12</v>
      </c>
      <c r="G453">
        <v>23604</v>
      </c>
      <c r="H453">
        <v>2124.36</v>
      </c>
      <c r="I453" s="1">
        <v>21479.64</v>
      </c>
      <c r="J453">
        <v>5901</v>
      </c>
      <c r="K453" s="1">
        <v>15578.64</v>
      </c>
      <c r="L453" s="3">
        <f>(K453/I453)</f>
        <v>0.72527472527472525</v>
      </c>
      <c r="M453" s="2">
        <v>41699</v>
      </c>
      <c r="N453">
        <v>3</v>
      </c>
      <c r="O453" t="s">
        <v>0</v>
      </c>
      <c r="P453">
        <v>2014</v>
      </c>
    </row>
    <row r="454" spans="1:16" x14ac:dyDescent="0.25">
      <c r="A454" t="s">
        <v>23</v>
      </c>
      <c r="B454" t="s">
        <v>11</v>
      </c>
      <c r="C454" t="s">
        <v>27</v>
      </c>
      <c r="D454" t="s">
        <v>29</v>
      </c>
      <c r="E454">
        <v>120</v>
      </c>
      <c r="F454">
        <v>15</v>
      </c>
      <c r="G454">
        <v>39420</v>
      </c>
      <c r="H454">
        <v>3547.8</v>
      </c>
      <c r="I454" s="1">
        <v>35872.199999999997</v>
      </c>
      <c r="J454">
        <v>26280</v>
      </c>
      <c r="K454" s="1">
        <v>9592.1999999999971</v>
      </c>
      <c r="L454" s="3">
        <f>(K454/I454)</f>
        <v>0.26739926739926734</v>
      </c>
      <c r="M454" s="2">
        <v>41730</v>
      </c>
      <c r="N454">
        <v>4</v>
      </c>
      <c r="O454" t="s">
        <v>26</v>
      </c>
      <c r="P454">
        <v>2014</v>
      </c>
    </row>
    <row r="455" spans="1:16" x14ac:dyDescent="0.25">
      <c r="A455" t="s">
        <v>8</v>
      </c>
      <c r="B455" t="s">
        <v>19</v>
      </c>
      <c r="C455" t="s">
        <v>2</v>
      </c>
      <c r="D455" t="s">
        <v>29</v>
      </c>
      <c r="E455">
        <v>250</v>
      </c>
      <c r="F455">
        <v>7</v>
      </c>
      <c r="G455">
        <v>2520</v>
      </c>
      <c r="H455">
        <v>226.8</v>
      </c>
      <c r="I455" s="1">
        <v>2293.1999999999998</v>
      </c>
      <c r="J455">
        <v>1800</v>
      </c>
      <c r="K455" s="1">
        <v>493.19999999999982</v>
      </c>
      <c r="L455" s="3">
        <f>(K455/I455)</f>
        <v>0.21507064364207215</v>
      </c>
      <c r="M455" s="2">
        <v>41913</v>
      </c>
      <c r="N455">
        <v>10</v>
      </c>
      <c r="O455" t="s">
        <v>25</v>
      </c>
      <c r="P455">
        <v>2014</v>
      </c>
    </row>
    <row r="456" spans="1:16" x14ac:dyDescent="0.25">
      <c r="A456" t="s">
        <v>8</v>
      </c>
      <c r="B456" t="s">
        <v>16</v>
      </c>
      <c r="C456" t="s">
        <v>2</v>
      </c>
      <c r="D456" t="s">
        <v>29</v>
      </c>
      <c r="E456">
        <v>250</v>
      </c>
      <c r="F456">
        <v>20</v>
      </c>
      <c r="G456">
        <v>53640</v>
      </c>
      <c r="H456">
        <v>4827.6000000000004</v>
      </c>
      <c r="I456" s="1">
        <v>48812.4</v>
      </c>
      <c r="J456">
        <v>26820</v>
      </c>
      <c r="K456" s="1">
        <v>21992.400000000001</v>
      </c>
      <c r="L456" s="3">
        <f>(K456/I456)</f>
        <v>0.45054945054945056</v>
      </c>
      <c r="M456" s="2">
        <v>41579</v>
      </c>
      <c r="N456">
        <v>11</v>
      </c>
      <c r="O456" t="s">
        <v>24</v>
      </c>
      <c r="P456">
        <v>2013</v>
      </c>
    </row>
    <row r="457" spans="1:16" x14ac:dyDescent="0.25">
      <c r="A457" t="s">
        <v>8</v>
      </c>
      <c r="B457" t="s">
        <v>11</v>
      </c>
      <c r="C457" t="s">
        <v>2</v>
      </c>
      <c r="D457" t="s">
        <v>29</v>
      </c>
      <c r="E457">
        <v>250</v>
      </c>
      <c r="F457">
        <v>7</v>
      </c>
      <c r="G457">
        <v>3647</v>
      </c>
      <c r="H457">
        <v>328.23</v>
      </c>
      <c r="I457" s="1">
        <v>3318.77</v>
      </c>
      <c r="J457">
        <v>2605</v>
      </c>
      <c r="K457" s="1">
        <v>713.77</v>
      </c>
      <c r="L457" s="3">
        <f>(K457/I457)</f>
        <v>0.21507064364207221</v>
      </c>
      <c r="M457" s="2">
        <v>41974</v>
      </c>
      <c r="N457">
        <v>12</v>
      </c>
      <c r="O457" t="s">
        <v>22</v>
      </c>
      <c r="P457">
        <v>2014</v>
      </c>
    </row>
    <row r="458" spans="1:16" x14ac:dyDescent="0.25">
      <c r="A458" t="s">
        <v>8</v>
      </c>
      <c r="B458" t="s">
        <v>11</v>
      </c>
      <c r="C458" t="s">
        <v>13</v>
      </c>
      <c r="D458" t="s">
        <v>29</v>
      </c>
      <c r="E458">
        <v>260</v>
      </c>
      <c r="F458">
        <v>20</v>
      </c>
      <c r="G458">
        <v>20760</v>
      </c>
      <c r="H458">
        <v>1868.4</v>
      </c>
      <c r="I458" s="1">
        <v>18891.599999999999</v>
      </c>
      <c r="J458">
        <v>10380</v>
      </c>
      <c r="K458" s="1">
        <v>8511.5999999999985</v>
      </c>
      <c r="L458" s="3">
        <f>(K458/I458)</f>
        <v>0.4505494505494505</v>
      </c>
      <c r="M458" s="2">
        <v>41791</v>
      </c>
      <c r="N458">
        <v>6</v>
      </c>
      <c r="O458" t="s">
        <v>21</v>
      </c>
      <c r="P458">
        <v>2014</v>
      </c>
    </row>
    <row r="459" spans="1:16" x14ac:dyDescent="0.25">
      <c r="A459" t="s">
        <v>23</v>
      </c>
      <c r="B459" t="s">
        <v>7</v>
      </c>
      <c r="C459" t="s">
        <v>13</v>
      </c>
      <c r="D459" t="s">
        <v>29</v>
      </c>
      <c r="E459">
        <v>260</v>
      </c>
      <c r="F459">
        <v>15</v>
      </c>
      <c r="G459">
        <v>24457.5</v>
      </c>
      <c r="H459">
        <v>2201.1750000000002</v>
      </c>
      <c r="I459" s="1">
        <v>22256.324999999997</v>
      </c>
      <c r="J459">
        <v>16305</v>
      </c>
      <c r="K459" s="1">
        <v>5951.3249999999989</v>
      </c>
      <c r="L459" s="3">
        <f>(K459/I459)</f>
        <v>0.26739926739926739</v>
      </c>
      <c r="M459" s="2">
        <v>41821</v>
      </c>
      <c r="N459">
        <v>7</v>
      </c>
      <c r="O459" t="s">
        <v>18</v>
      </c>
      <c r="P459">
        <v>2014</v>
      </c>
    </row>
    <row r="460" spans="1:16" x14ac:dyDescent="0.25">
      <c r="A460" t="s">
        <v>4</v>
      </c>
      <c r="B460" t="s">
        <v>16</v>
      </c>
      <c r="C460" t="s">
        <v>13</v>
      </c>
      <c r="D460" t="s">
        <v>29</v>
      </c>
      <c r="E460">
        <v>260</v>
      </c>
      <c r="F460">
        <v>12</v>
      </c>
      <c r="G460">
        <v>3672</v>
      </c>
      <c r="H460">
        <v>330.48</v>
      </c>
      <c r="I460" s="1">
        <v>3341.52</v>
      </c>
      <c r="J460">
        <v>918</v>
      </c>
      <c r="K460" s="1">
        <v>2423.52</v>
      </c>
      <c r="L460" s="3">
        <f>(K460/I460)</f>
        <v>0.72527472527472525</v>
      </c>
      <c r="M460" s="2">
        <v>41609</v>
      </c>
      <c r="N460">
        <v>12</v>
      </c>
      <c r="O460" t="s">
        <v>17</v>
      </c>
      <c r="P460">
        <v>2013</v>
      </c>
    </row>
    <row r="461" spans="1:16" x14ac:dyDescent="0.25">
      <c r="A461" t="s">
        <v>4</v>
      </c>
      <c r="B461" t="s">
        <v>3</v>
      </c>
      <c r="C461" t="s">
        <v>28</v>
      </c>
      <c r="D461" t="s">
        <v>1</v>
      </c>
      <c r="E461">
        <v>3</v>
      </c>
      <c r="F461">
        <v>12</v>
      </c>
      <c r="G461">
        <v>4632</v>
      </c>
      <c r="H461">
        <v>463.2</v>
      </c>
      <c r="I461" s="1">
        <v>4168.8</v>
      </c>
      <c r="J461">
        <v>1158</v>
      </c>
      <c r="K461" s="1">
        <v>3010.8</v>
      </c>
      <c r="L461" s="3">
        <f>(K461/I461)</f>
        <v>0.72222222222222221</v>
      </c>
      <c r="M461" s="2">
        <v>41548</v>
      </c>
      <c r="N461">
        <v>10</v>
      </c>
      <c r="O461" t="s">
        <v>15</v>
      </c>
      <c r="P461">
        <v>2013</v>
      </c>
    </row>
    <row r="462" spans="1:16" x14ac:dyDescent="0.25">
      <c r="A462" t="s">
        <v>8</v>
      </c>
      <c r="B462" t="s">
        <v>3</v>
      </c>
      <c r="C462" t="s">
        <v>10</v>
      </c>
      <c r="D462" t="s">
        <v>1</v>
      </c>
      <c r="E462">
        <v>5</v>
      </c>
      <c r="F462">
        <v>7</v>
      </c>
      <c r="G462">
        <v>16296</v>
      </c>
      <c r="H462">
        <v>1629.6</v>
      </c>
      <c r="I462" s="1">
        <v>14666.4</v>
      </c>
      <c r="J462">
        <v>11640</v>
      </c>
      <c r="K462" s="1">
        <v>3026.3999999999996</v>
      </c>
      <c r="L462" s="3">
        <f>(K462/I462)</f>
        <v>0.20634920634920634</v>
      </c>
      <c r="M462" s="2">
        <v>41883</v>
      </c>
      <c r="N462">
        <v>9</v>
      </c>
      <c r="O462" t="s">
        <v>12</v>
      </c>
      <c r="P462">
        <v>2014</v>
      </c>
    </row>
    <row r="463" spans="1:16" x14ac:dyDescent="0.25">
      <c r="A463" t="s">
        <v>4</v>
      </c>
      <c r="B463" t="s">
        <v>3</v>
      </c>
      <c r="C463" t="s">
        <v>6</v>
      </c>
      <c r="D463" t="s">
        <v>1</v>
      </c>
      <c r="E463">
        <v>10</v>
      </c>
      <c r="F463">
        <v>12</v>
      </c>
      <c r="G463">
        <v>4632</v>
      </c>
      <c r="H463">
        <v>463.2</v>
      </c>
      <c r="I463" s="1">
        <v>4168.8</v>
      </c>
      <c r="J463">
        <v>1158</v>
      </c>
      <c r="K463" s="1">
        <v>3010.8</v>
      </c>
      <c r="L463" s="3">
        <f>(K463/I463)</f>
        <v>0.72222222222222221</v>
      </c>
      <c r="M463" s="2">
        <v>41548</v>
      </c>
      <c r="N463">
        <v>10</v>
      </c>
      <c r="O463" t="s">
        <v>9</v>
      </c>
      <c r="P463">
        <v>2013</v>
      </c>
    </row>
    <row r="464" spans="1:16" x14ac:dyDescent="0.25">
      <c r="A464" t="s">
        <v>20</v>
      </c>
      <c r="B464" t="s">
        <v>3</v>
      </c>
      <c r="C464" t="s">
        <v>28</v>
      </c>
      <c r="D464" t="s">
        <v>1</v>
      </c>
      <c r="E464">
        <v>3</v>
      </c>
      <c r="F464">
        <v>125</v>
      </c>
      <c r="G464">
        <v>430687.5</v>
      </c>
      <c r="H464">
        <v>43068.75</v>
      </c>
      <c r="I464" s="1">
        <v>387618.75</v>
      </c>
      <c r="J464">
        <v>413460</v>
      </c>
      <c r="K464" s="1">
        <v>-25841.25</v>
      </c>
      <c r="L464" s="3">
        <f>(K464/I464)</f>
        <v>-6.6666666666666666E-2</v>
      </c>
      <c r="M464" s="2">
        <v>41730</v>
      </c>
      <c r="N464">
        <v>4</v>
      </c>
      <c r="O464" t="s">
        <v>5</v>
      </c>
      <c r="P464">
        <v>2014</v>
      </c>
    </row>
    <row r="465" spans="1:16" x14ac:dyDescent="0.25">
      <c r="A465" t="s">
        <v>20</v>
      </c>
      <c r="B465" t="s">
        <v>16</v>
      </c>
      <c r="C465" t="s">
        <v>28</v>
      </c>
      <c r="D465" t="s">
        <v>1</v>
      </c>
      <c r="E465">
        <v>3</v>
      </c>
      <c r="F465">
        <v>125</v>
      </c>
      <c r="G465">
        <v>185250</v>
      </c>
      <c r="H465">
        <v>18525</v>
      </c>
      <c r="I465" s="1">
        <v>166725</v>
      </c>
      <c r="J465">
        <v>177840</v>
      </c>
      <c r="K465" s="1">
        <v>-11115</v>
      </c>
      <c r="L465" s="3">
        <f>(K465/I465)</f>
        <v>-6.6666666666666666E-2</v>
      </c>
      <c r="M465" s="2">
        <v>41609</v>
      </c>
      <c r="N465">
        <v>12</v>
      </c>
      <c r="O465" t="s">
        <v>0</v>
      </c>
      <c r="P465">
        <v>2013</v>
      </c>
    </row>
    <row r="466" spans="1:16" x14ac:dyDescent="0.25">
      <c r="A466" t="s">
        <v>8</v>
      </c>
      <c r="B466" t="s">
        <v>3</v>
      </c>
      <c r="C466" t="s">
        <v>10</v>
      </c>
      <c r="D466" t="s">
        <v>1</v>
      </c>
      <c r="E466">
        <v>5</v>
      </c>
      <c r="F466">
        <v>350</v>
      </c>
      <c r="G466">
        <v>809550</v>
      </c>
      <c r="H466">
        <v>80955</v>
      </c>
      <c r="I466" s="1">
        <v>728595</v>
      </c>
      <c r="J466">
        <v>601380</v>
      </c>
      <c r="K466" s="1">
        <v>127215</v>
      </c>
      <c r="L466" s="3">
        <f>(K466/I466)</f>
        <v>0.17460317460317459</v>
      </c>
      <c r="M466" s="2">
        <v>41760</v>
      </c>
      <c r="N466">
        <v>5</v>
      </c>
      <c r="O466" t="s">
        <v>26</v>
      </c>
      <c r="P466">
        <v>2014</v>
      </c>
    </row>
    <row r="467" spans="1:16" x14ac:dyDescent="0.25">
      <c r="A467" t="s">
        <v>20</v>
      </c>
      <c r="B467" t="s">
        <v>3</v>
      </c>
      <c r="C467" t="s">
        <v>10</v>
      </c>
      <c r="D467" t="s">
        <v>1</v>
      </c>
      <c r="E467">
        <v>5</v>
      </c>
      <c r="F467">
        <v>125</v>
      </c>
      <c r="G467">
        <v>225500</v>
      </c>
      <c r="H467">
        <v>22550</v>
      </c>
      <c r="I467" s="1">
        <v>202950</v>
      </c>
      <c r="J467">
        <v>216480</v>
      </c>
      <c r="K467" s="1">
        <v>-13530</v>
      </c>
      <c r="L467" s="3">
        <f>(K467/I467)</f>
        <v>-6.6666666666666666E-2</v>
      </c>
      <c r="M467" s="2">
        <v>41579</v>
      </c>
      <c r="N467">
        <v>11</v>
      </c>
      <c r="O467" t="s">
        <v>25</v>
      </c>
      <c r="P467">
        <v>2013</v>
      </c>
    </row>
    <row r="468" spans="1:16" x14ac:dyDescent="0.25">
      <c r="A468" t="s">
        <v>23</v>
      </c>
      <c r="B468" t="s">
        <v>16</v>
      </c>
      <c r="C468" t="s">
        <v>10</v>
      </c>
      <c r="D468" t="s">
        <v>1</v>
      </c>
      <c r="E468">
        <v>5</v>
      </c>
      <c r="F468">
        <v>15</v>
      </c>
      <c r="G468">
        <v>31080</v>
      </c>
      <c r="H468">
        <v>3108</v>
      </c>
      <c r="I468" s="1">
        <v>27972</v>
      </c>
      <c r="J468">
        <v>20720</v>
      </c>
      <c r="K468" s="1">
        <v>7252</v>
      </c>
      <c r="L468" s="3">
        <f>(K468/I468)</f>
        <v>0.25925925925925924</v>
      </c>
      <c r="M468" s="2">
        <v>41974</v>
      </c>
      <c r="N468">
        <v>12</v>
      </c>
      <c r="O468" t="s">
        <v>24</v>
      </c>
      <c r="P468">
        <v>2014</v>
      </c>
    </row>
    <row r="469" spans="1:16" x14ac:dyDescent="0.25">
      <c r="A469" t="s">
        <v>8</v>
      </c>
      <c r="B469" t="s">
        <v>16</v>
      </c>
      <c r="C469" t="s">
        <v>6</v>
      </c>
      <c r="D469" t="s">
        <v>1</v>
      </c>
      <c r="E469">
        <v>10</v>
      </c>
      <c r="F469">
        <v>20</v>
      </c>
      <c r="G469">
        <v>39080</v>
      </c>
      <c r="H469">
        <v>3908</v>
      </c>
      <c r="I469" s="1">
        <v>35172</v>
      </c>
      <c r="J469">
        <v>19540</v>
      </c>
      <c r="K469" s="1">
        <v>15632</v>
      </c>
      <c r="L469" s="3">
        <f>(K469/I469)</f>
        <v>0.44444444444444442</v>
      </c>
      <c r="M469" s="2">
        <v>41699</v>
      </c>
      <c r="N469">
        <v>3</v>
      </c>
      <c r="O469" t="s">
        <v>22</v>
      </c>
      <c r="P469">
        <v>2014</v>
      </c>
    </row>
    <row r="470" spans="1:16" x14ac:dyDescent="0.25">
      <c r="A470" t="s">
        <v>14</v>
      </c>
      <c r="B470" t="s">
        <v>11</v>
      </c>
      <c r="C470" t="s">
        <v>6</v>
      </c>
      <c r="D470" t="s">
        <v>1</v>
      </c>
      <c r="E470">
        <v>10</v>
      </c>
      <c r="F470">
        <v>300</v>
      </c>
      <c r="G470">
        <v>177300</v>
      </c>
      <c r="H470">
        <v>17730</v>
      </c>
      <c r="I470" s="1">
        <v>159570</v>
      </c>
      <c r="J470">
        <v>147750</v>
      </c>
      <c r="K470" s="1">
        <v>11820</v>
      </c>
      <c r="L470" s="3">
        <f>(K470/I470)</f>
        <v>7.407407407407407E-2</v>
      </c>
      <c r="M470" s="2">
        <v>41760</v>
      </c>
      <c r="N470">
        <v>5</v>
      </c>
      <c r="O470" t="s">
        <v>21</v>
      </c>
      <c r="P470">
        <v>2014</v>
      </c>
    </row>
    <row r="471" spans="1:16" x14ac:dyDescent="0.25">
      <c r="A471" t="s">
        <v>23</v>
      </c>
      <c r="B471" t="s">
        <v>16</v>
      </c>
      <c r="C471" t="s">
        <v>6</v>
      </c>
      <c r="D471" t="s">
        <v>1</v>
      </c>
      <c r="E471">
        <v>10</v>
      </c>
      <c r="F471">
        <v>15</v>
      </c>
      <c r="G471">
        <v>32505</v>
      </c>
      <c r="H471">
        <v>3250.5</v>
      </c>
      <c r="I471" s="1">
        <v>29254.5</v>
      </c>
      <c r="J471">
        <v>21670</v>
      </c>
      <c r="K471" s="1">
        <v>7584.5</v>
      </c>
      <c r="L471" s="3">
        <f>(K471/I471)</f>
        <v>0.25925925925925924</v>
      </c>
      <c r="M471" s="2">
        <v>41548</v>
      </c>
      <c r="N471">
        <v>10</v>
      </c>
      <c r="O471" t="s">
        <v>18</v>
      </c>
      <c r="P471">
        <v>2013</v>
      </c>
    </row>
    <row r="472" spans="1:16" x14ac:dyDescent="0.25">
      <c r="A472" t="s">
        <v>8</v>
      </c>
      <c r="B472" t="s">
        <v>19</v>
      </c>
      <c r="C472" t="s">
        <v>6</v>
      </c>
      <c r="D472" t="s">
        <v>1</v>
      </c>
      <c r="E472">
        <v>10</v>
      </c>
      <c r="F472">
        <v>20</v>
      </c>
      <c r="G472">
        <v>4820</v>
      </c>
      <c r="H472">
        <v>482</v>
      </c>
      <c r="I472" s="1">
        <v>4338</v>
      </c>
      <c r="J472">
        <v>2410</v>
      </c>
      <c r="K472" s="1">
        <v>1928</v>
      </c>
      <c r="L472" s="3">
        <f>(K472/I472)</f>
        <v>0.44444444444444442</v>
      </c>
      <c r="M472" s="2">
        <v>41913</v>
      </c>
      <c r="N472">
        <v>10</v>
      </c>
      <c r="O472" t="s">
        <v>17</v>
      </c>
      <c r="P472">
        <v>2014</v>
      </c>
    </row>
    <row r="473" spans="1:16" x14ac:dyDescent="0.25">
      <c r="A473" t="s">
        <v>23</v>
      </c>
      <c r="B473" t="s">
        <v>19</v>
      </c>
      <c r="C473" t="s">
        <v>27</v>
      </c>
      <c r="D473" t="s">
        <v>1</v>
      </c>
      <c r="E473">
        <v>120</v>
      </c>
      <c r="F473">
        <v>15</v>
      </c>
      <c r="G473">
        <v>10215</v>
      </c>
      <c r="H473">
        <v>1021.5</v>
      </c>
      <c r="I473" s="1">
        <v>9193.5</v>
      </c>
      <c r="J473">
        <v>6810</v>
      </c>
      <c r="K473" s="1">
        <v>2383.5</v>
      </c>
      <c r="L473" s="3">
        <f>(K473/I473)</f>
        <v>0.25925925925925924</v>
      </c>
      <c r="M473" s="2">
        <v>41640</v>
      </c>
      <c r="N473">
        <v>1</v>
      </c>
      <c r="O473" t="s">
        <v>15</v>
      </c>
      <c r="P473">
        <v>2014</v>
      </c>
    </row>
    <row r="474" spans="1:16" x14ac:dyDescent="0.25">
      <c r="A474" t="s">
        <v>23</v>
      </c>
      <c r="B474" t="s">
        <v>19</v>
      </c>
      <c r="C474" t="s">
        <v>27</v>
      </c>
      <c r="D474" t="s">
        <v>1</v>
      </c>
      <c r="E474">
        <v>120</v>
      </c>
      <c r="F474">
        <v>15</v>
      </c>
      <c r="G474">
        <v>7650</v>
      </c>
      <c r="H474">
        <v>765</v>
      </c>
      <c r="I474" s="1">
        <v>6885</v>
      </c>
      <c r="J474">
        <v>5100</v>
      </c>
      <c r="K474" s="1">
        <v>1785</v>
      </c>
      <c r="L474" s="3">
        <f>(K474/I474)</f>
        <v>0.25925925925925924</v>
      </c>
      <c r="M474" s="2">
        <v>41730</v>
      </c>
      <c r="N474">
        <v>4</v>
      </c>
      <c r="O474" t="s">
        <v>12</v>
      </c>
      <c r="P474">
        <v>2014</v>
      </c>
    </row>
    <row r="475" spans="1:16" x14ac:dyDescent="0.25">
      <c r="A475" t="s">
        <v>23</v>
      </c>
      <c r="B475" t="s">
        <v>3</v>
      </c>
      <c r="C475" t="s">
        <v>27</v>
      </c>
      <c r="D475" t="s">
        <v>1</v>
      </c>
      <c r="E475">
        <v>120</v>
      </c>
      <c r="F475">
        <v>15</v>
      </c>
      <c r="G475">
        <v>11850</v>
      </c>
      <c r="H475">
        <v>1185</v>
      </c>
      <c r="I475" s="1">
        <v>10665</v>
      </c>
      <c r="J475">
        <v>7900</v>
      </c>
      <c r="K475" s="1">
        <v>2765</v>
      </c>
      <c r="L475" s="3">
        <f>(K475/I475)</f>
        <v>0.25925925925925924</v>
      </c>
      <c r="M475" s="2">
        <v>41760</v>
      </c>
      <c r="N475">
        <v>5</v>
      </c>
      <c r="O475" t="s">
        <v>9</v>
      </c>
      <c r="P475">
        <v>2014</v>
      </c>
    </row>
    <row r="476" spans="1:16" x14ac:dyDescent="0.25">
      <c r="A476" t="s">
        <v>8</v>
      </c>
      <c r="B476" t="s">
        <v>16</v>
      </c>
      <c r="C476" t="s">
        <v>27</v>
      </c>
      <c r="D476" t="s">
        <v>1</v>
      </c>
      <c r="E476">
        <v>120</v>
      </c>
      <c r="F476">
        <v>350</v>
      </c>
      <c r="G476">
        <v>223650</v>
      </c>
      <c r="H476">
        <v>22365</v>
      </c>
      <c r="I476" s="1">
        <v>201285</v>
      </c>
      <c r="J476">
        <v>166140</v>
      </c>
      <c r="K476" s="1">
        <v>35145</v>
      </c>
      <c r="L476" s="3">
        <f>(K476/I476)</f>
        <v>0.17460317460317459</v>
      </c>
      <c r="M476" s="2">
        <v>41821</v>
      </c>
      <c r="N476">
        <v>7</v>
      </c>
      <c r="O476" t="s">
        <v>5</v>
      </c>
      <c r="P476">
        <v>2014</v>
      </c>
    </row>
    <row r="477" spans="1:16" x14ac:dyDescent="0.25">
      <c r="A477" t="s">
        <v>20</v>
      </c>
      <c r="B477" t="s">
        <v>3</v>
      </c>
      <c r="C477" t="s">
        <v>27</v>
      </c>
      <c r="D477" t="s">
        <v>1</v>
      </c>
      <c r="E477">
        <v>120</v>
      </c>
      <c r="F477">
        <v>125</v>
      </c>
      <c r="G477">
        <v>199500</v>
      </c>
      <c r="H477">
        <v>19950</v>
      </c>
      <c r="I477" s="1">
        <v>179550</v>
      </c>
      <c r="J477">
        <v>191520</v>
      </c>
      <c r="K477" s="1">
        <v>-11970</v>
      </c>
      <c r="L477" s="3">
        <f>(K477/I477)</f>
        <v>-6.6666666666666666E-2</v>
      </c>
      <c r="M477" s="2">
        <v>41883</v>
      </c>
      <c r="N477">
        <v>9</v>
      </c>
      <c r="O477" t="s">
        <v>0</v>
      </c>
      <c r="P477">
        <v>2014</v>
      </c>
    </row>
    <row r="478" spans="1:16" x14ac:dyDescent="0.25">
      <c r="A478" t="s">
        <v>14</v>
      </c>
      <c r="B478" t="s">
        <v>3</v>
      </c>
      <c r="C478" t="s">
        <v>27</v>
      </c>
      <c r="D478" t="s">
        <v>1</v>
      </c>
      <c r="E478">
        <v>120</v>
      </c>
      <c r="F478">
        <v>300</v>
      </c>
      <c r="G478">
        <v>688200</v>
      </c>
      <c r="H478">
        <v>68820</v>
      </c>
      <c r="I478" s="1">
        <v>619380</v>
      </c>
      <c r="J478">
        <v>573500</v>
      </c>
      <c r="K478" s="1">
        <v>45880</v>
      </c>
      <c r="L478" s="3">
        <f>(K478/I478)</f>
        <v>7.407407407407407E-2</v>
      </c>
      <c r="M478" s="2">
        <v>41548</v>
      </c>
      <c r="N478">
        <v>10</v>
      </c>
      <c r="O478" t="s">
        <v>26</v>
      </c>
      <c r="P478">
        <v>2013</v>
      </c>
    </row>
    <row r="479" spans="1:16" x14ac:dyDescent="0.25">
      <c r="A479" t="s">
        <v>8</v>
      </c>
      <c r="B479" t="s">
        <v>19</v>
      </c>
      <c r="C479" t="s">
        <v>27</v>
      </c>
      <c r="D479" t="s">
        <v>1</v>
      </c>
      <c r="E479">
        <v>120</v>
      </c>
      <c r="F479">
        <v>20</v>
      </c>
      <c r="G479">
        <v>4820</v>
      </c>
      <c r="H479">
        <v>482</v>
      </c>
      <c r="I479" s="1">
        <v>4338</v>
      </c>
      <c r="J479">
        <v>2410</v>
      </c>
      <c r="K479" s="1">
        <v>1928</v>
      </c>
      <c r="L479" s="3">
        <f>(K479/I479)</f>
        <v>0.44444444444444442</v>
      </c>
      <c r="M479" s="2">
        <v>41913</v>
      </c>
      <c r="N479">
        <v>10</v>
      </c>
      <c r="O479" t="s">
        <v>25</v>
      </c>
      <c r="P479">
        <v>2014</v>
      </c>
    </row>
    <row r="480" spans="1:16" x14ac:dyDescent="0.25">
      <c r="A480" t="s">
        <v>8</v>
      </c>
      <c r="B480" t="s">
        <v>19</v>
      </c>
      <c r="C480" t="s">
        <v>27</v>
      </c>
      <c r="D480" t="s">
        <v>1</v>
      </c>
      <c r="E480">
        <v>120</v>
      </c>
      <c r="F480">
        <v>7</v>
      </c>
      <c r="G480">
        <v>18655</v>
      </c>
      <c r="H480">
        <v>1865.5</v>
      </c>
      <c r="I480" s="1">
        <v>16789.5</v>
      </c>
      <c r="J480">
        <v>13325</v>
      </c>
      <c r="K480" s="1">
        <v>3464.5</v>
      </c>
      <c r="L480" s="3">
        <f>(K480/I480)</f>
        <v>0.20634920634920634</v>
      </c>
      <c r="M480" s="2">
        <v>41944</v>
      </c>
      <c r="N480">
        <v>11</v>
      </c>
      <c r="O480" t="s">
        <v>24</v>
      </c>
      <c r="P480">
        <v>2014</v>
      </c>
    </row>
    <row r="481" spans="1:16" x14ac:dyDescent="0.25">
      <c r="A481" t="s">
        <v>20</v>
      </c>
      <c r="B481" t="s">
        <v>7</v>
      </c>
      <c r="C481" t="s">
        <v>27</v>
      </c>
      <c r="D481" t="s">
        <v>1</v>
      </c>
      <c r="E481">
        <v>120</v>
      </c>
      <c r="F481">
        <v>125</v>
      </c>
      <c r="G481">
        <v>239500</v>
      </c>
      <c r="H481">
        <v>23950</v>
      </c>
      <c r="I481" s="1">
        <v>215550</v>
      </c>
      <c r="J481">
        <v>229920</v>
      </c>
      <c r="K481" s="1">
        <v>-14370</v>
      </c>
      <c r="L481" s="3">
        <f>(K481/I481)</f>
        <v>-6.6666666666666666E-2</v>
      </c>
      <c r="M481" s="2">
        <v>41609</v>
      </c>
      <c r="N481">
        <v>12</v>
      </c>
      <c r="O481" t="s">
        <v>22</v>
      </c>
      <c r="P481">
        <v>2013</v>
      </c>
    </row>
    <row r="482" spans="1:16" x14ac:dyDescent="0.25">
      <c r="A482" t="s">
        <v>14</v>
      </c>
      <c r="B482" t="s">
        <v>16</v>
      </c>
      <c r="C482" t="s">
        <v>27</v>
      </c>
      <c r="D482" t="s">
        <v>1</v>
      </c>
      <c r="E482">
        <v>120</v>
      </c>
      <c r="F482">
        <v>300</v>
      </c>
      <c r="G482">
        <v>255900</v>
      </c>
      <c r="H482">
        <v>25590</v>
      </c>
      <c r="I482" s="1">
        <v>230310</v>
      </c>
      <c r="J482">
        <v>213250</v>
      </c>
      <c r="K482" s="1">
        <v>17060</v>
      </c>
      <c r="L482" s="3">
        <f>(K482/I482)</f>
        <v>7.407407407407407E-2</v>
      </c>
      <c r="M482" s="2">
        <v>41974</v>
      </c>
      <c r="N482">
        <v>12</v>
      </c>
      <c r="O482" t="s">
        <v>21</v>
      </c>
      <c r="P482">
        <v>2014</v>
      </c>
    </row>
    <row r="483" spans="1:16" x14ac:dyDescent="0.25">
      <c r="A483" t="s">
        <v>20</v>
      </c>
      <c r="B483" t="s">
        <v>11</v>
      </c>
      <c r="C483" t="s">
        <v>2</v>
      </c>
      <c r="D483" t="s">
        <v>1</v>
      </c>
      <c r="E483">
        <v>250</v>
      </c>
      <c r="F483">
        <v>125</v>
      </c>
      <c r="G483">
        <v>42625</v>
      </c>
      <c r="H483">
        <v>4262.5</v>
      </c>
      <c r="I483" s="1">
        <v>38362.5</v>
      </c>
      <c r="J483">
        <v>40920</v>
      </c>
      <c r="K483" s="1">
        <v>-2557.5</v>
      </c>
      <c r="L483" s="3">
        <f>(K483/I483)</f>
        <v>-6.6666666666666666E-2</v>
      </c>
      <c r="M483" s="2">
        <v>41760</v>
      </c>
      <c r="N483">
        <v>5</v>
      </c>
      <c r="O483" t="s">
        <v>18</v>
      </c>
      <c r="P483">
        <v>2014</v>
      </c>
    </row>
    <row r="484" spans="1:16" x14ac:dyDescent="0.25">
      <c r="A484" t="s">
        <v>23</v>
      </c>
      <c r="B484" t="s">
        <v>11</v>
      </c>
      <c r="C484" t="s">
        <v>2</v>
      </c>
      <c r="D484" t="s">
        <v>1</v>
      </c>
      <c r="E484">
        <v>250</v>
      </c>
      <c r="F484">
        <v>15</v>
      </c>
      <c r="G484">
        <v>9615</v>
      </c>
      <c r="H484">
        <v>961.5</v>
      </c>
      <c r="I484" s="1">
        <v>8653.5</v>
      </c>
      <c r="J484">
        <v>6410</v>
      </c>
      <c r="K484" s="1">
        <v>2243.5</v>
      </c>
      <c r="L484" s="3">
        <f>(K484/I484)</f>
        <v>0.25925925925925924</v>
      </c>
      <c r="M484" s="2">
        <v>41821</v>
      </c>
      <c r="N484">
        <v>7</v>
      </c>
      <c r="O484" t="s">
        <v>17</v>
      </c>
      <c r="P484">
        <v>2014</v>
      </c>
    </row>
    <row r="485" spans="1:16" x14ac:dyDescent="0.25">
      <c r="A485" t="s">
        <v>8</v>
      </c>
      <c r="B485" t="s">
        <v>3</v>
      </c>
      <c r="C485" t="s">
        <v>2</v>
      </c>
      <c r="D485" t="s">
        <v>1</v>
      </c>
      <c r="E485">
        <v>250</v>
      </c>
      <c r="F485">
        <v>350</v>
      </c>
      <c r="G485">
        <v>982450</v>
      </c>
      <c r="H485">
        <v>98245</v>
      </c>
      <c r="I485" s="1">
        <v>884205</v>
      </c>
      <c r="J485">
        <v>729820</v>
      </c>
      <c r="K485" s="1">
        <v>154385</v>
      </c>
      <c r="L485" s="3">
        <f>(K485/I485)</f>
        <v>0.17460317460317459</v>
      </c>
      <c r="M485" s="2">
        <v>41852</v>
      </c>
      <c r="N485">
        <v>8</v>
      </c>
      <c r="O485" t="s">
        <v>15</v>
      </c>
      <c r="P485">
        <v>2014</v>
      </c>
    </row>
    <row r="486" spans="1:16" x14ac:dyDescent="0.25">
      <c r="A486" t="s">
        <v>14</v>
      </c>
      <c r="B486" t="s">
        <v>11</v>
      </c>
      <c r="C486" t="s">
        <v>2</v>
      </c>
      <c r="D486" t="s">
        <v>1</v>
      </c>
      <c r="E486">
        <v>250</v>
      </c>
      <c r="F486">
        <v>300</v>
      </c>
      <c r="G486">
        <v>129600</v>
      </c>
      <c r="H486">
        <v>12960</v>
      </c>
      <c r="I486" s="1">
        <v>116640</v>
      </c>
      <c r="J486">
        <v>108000</v>
      </c>
      <c r="K486" s="1">
        <v>8640</v>
      </c>
      <c r="L486" s="3">
        <f>(K486/I486)</f>
        <v>7.407407407407407E-2</v>
      </c>
      <c r="M486" s="2">
        <v>41883</v>
      </c>
      <c r="N486">
        <v>9</v>
      </c>
      <c r="O486" t="s">
        <v>12</v>
      </c>
      <c r="P486">
        <v>2014</v>
      </c>
    </row>
    <row r="487" spans="1:16" x14ac:dyDescent="0.25">
      <c r="A487" t="s">
        <v>14</v>
      </c>
      <c r="B487" t="s">
        <v>3</v>
      </c>
      <c r="C487" t="s">
        <v>2</v>
      </c>
      <c r="D487" t="s">
        <v>1</v>
      </c>
      <c r="E487">
        <v>250</v>
      </c>
      <c r="F487">
        <v>300</v>
      </c>
      <c r="G487">
        <v>688200</v>
      </c>
      <c r="H487">
        <v>68820</v>
      </c>
      <c r="I487" s="1">
        <v>619380</v>
      </c>
      <c r="J487">
        <v>573500</v>
      </c>
      <c r="K487" s="1">
        <v>45880</v>
      </c>
      <c r="L487" s="3">
        <f>(K487/I487)</f>
        <v>7.407407407407407E-2</v>
      </c>
      <c r="M487" s="2">
        <v>41548</v>
      </c>
      <c r="N487">
        <v>10</v>
      </c>
      <c r="O487" t="s">
        <v>9</v>
      </c>
      <c r="P487">
        <v>2013</v>
      </c>
    </row>
    <row r="488" spans="1:16" x14ac:dyDescent="0.25">
      <c r="A488" t="s">
        <v>23</v>
      </c>
      <c r="B488" t="s">
        <v>16</v>
      </c>
      <c r="C488" t="s">
        <v>2</v>
      </c>
      <c r="D488" t="s">
        <v>1</v>
      </c>
      <c r="E488">
        <v>250</v>
      </c>
      <c r="F488">
        <v>15</v>
      </c>
      <c r="G488">
        <v>32505</v>
      </c>
      <c r="H488">
        <v>3250.5</v>
      </c>
      <c r="I488" s="1">
        <v>29254.5</v>
      </c>
      <c r="J488">
        <v>21670</v>
      </c>
      <c r="K488" s="1">
        <v>7584.5</v>
      </c>
      <c r="L488" s="3">
        <f>(K488/I488)</f>
        <v>0.25925925925925924</v>
      </c>
      <c r="M488" s="2">
        <v>41548</v>
      </c>
      <c r="N488">
        <v>10</v>
      </c>
      <c r="O488" t="s">
        <v>5</v>
      </c>
      <c r="P488">
        <v>2013</v>
      </c>
    </row>
    <row r="489" spans="1:16" x14ac:dyDescent="0.25">
      <c r="A489" t="s">
        <v>20</v>
      </c>
      <c r="B489" t="s">
        <v>7</v>
      </c>
      <c r="C489" t="s">
        <v>2</v>
      </c>
      <c r="D489" t="s">
        <v>1</v>
      </c>
      <c r="E489">
        <v>250</v>
      </c>
      <c r="F489">
        <v>125</v>
      </c>
      <c r="G489">
        <v>316125</v>
      </c>
      <c r="H489">
        <v>31612.5</v>
      </c>
      <c r="I489" s="1">
        <v>284512.5</v>
      </c>
      <c r="J489">
        <v>303480</v>
      </c>
      <c r="K489" s="1">
        <v>-18967.5</v>
      </c>
      <c r="L489" s="3">
        <f>(K489/I489)</f>
        <v>-6.6666666666666666E-2</v>
      </c>
      <c r="M489" s="2">
        <v>41944</v>
      </c>
      <c r="N489">
        <v>11</v>
      </c>
      <c r="O489" t="s">
        <v>0</v>
      </c>
      <c r="P489">
        <v>2014</v>
      </c>
    </row>
    <row r="490" spans="1:16" x14ac:dyDescent="0.25">
      <c r="A490" t="s">
        <v>8</v>
      </c>
      <c r="B490" t="s">
        <v>19</v>
      </c>
      <c r="C490" t="s">
        <v>2</v>
      </c>
      <c r="D490" t="s">
        <v>1</v>
      </c>
      <c r="E490">
        <v>250</v>
      </c>
      <c r="F490">
        <v>350</v>
      </c>
      <c r="G490">
        <v>654500</v>
      </c>
      <c r="H490">
        <v>65450</v>
      </c>
      <c r="I490" s="1">
        <v>589050</v>
      </c>
      <c r="J490">
        <v>486200</v>
      </c>
      <c r="K490" s="1">
        <v>102850</v>
      </c>
      <c r="L490" s="3">
        <f>(K490/I490)</f>
        <v>0.17460317460317459</v>
      </c>
      <c r="M490" s="2">
        <v>41609</v>
      </c>
      <c r="N490">
        <v>12</v>
      </c>
      <c r="O490" t="s">
        <v>26</v>
      </c>
      <c r="P490">
        <v>2013</v>
      </c>
    </row>
    <row r="491" spans="1:16" x14ac:dyDescent="0.25">
      <c r="A491" t="s">
        <v>20</v>
      </c>
      <c r="B491" t="s">
        <v>3</v>
      </c>
      <c r="C491" t="s">
        <v>13</v>
      </c>
      <c r="D491" t="s">
        <v>1</v>
      </c>
      <c r="E491">
        <v>260</v>
      </c>
      <c r="F491">
        <v>125</v>
      </c>
      <c r="G491">
        <v>72375</v>
      </c>
      <c r="H491">
        <v>7237.5</v>
      </c>
      <c r="I491" s="1">
        <v>65137.5</v>
      </c>
      <c r="J491">
        <v>69480</v>
      </c>
      <c r="K491" s="1">
        <v>-4342.5</v>
      </c>
      <c r="L491" s="3">
        <f>(K491/I491)</f>
        <v>-6.6666666666666666E-2</v>
      </c>
      <c r="M491" s="2">
        <v>41640</v>
      </c>
      <c r="N491">
        <v>1</v>
      </c>
      <c r="O491" t="s">
        <v>25</v>
      </c>
      <c r="P491">
        <v>2014</v>
      </c>
    </row>
    <row r="492" spans="1:16" x14ac:dyDescent="0.25">
      <c r="A492" t="s">
        <v>8</v>
      </c>
      <c r="B492" t="s">
        <v>7</v>
      </c>
      <c r="C492" t="s">
        <v>13</v>
      </c>
      <c r="D492" t="s">
        <v>1</v>
      </c>
      <c r="E492">
        <v>260</v>
      </c>
      <c r="F492">
        <v>350</v>
      </c>
      <c r="G492">
        <v>784000</v>
      </c>
      <c r="H492">
        <v>78400</v>
      </c>
      <c r="I492" s="1">
        <v>705600</v>
      </c>
      <c r="J492">
        <v>582400</v>
      </c>
      <c r="K492" s="1">
        <v>123200</v>
      </c>
      <c r="L492" s="3">
        <f>(K492/I492)</f>
        <v>0.17460317460317459</v>
      </c>
      <c r="M492" s="2">
        <v>41671</v>
      </c>
      <c r="N492">
        <v>2</v>
      </c>
      <c r="O492" t="s">
        <v>24</v>
      </c>
      <c r="P492">
        <v>2014</v>
      </c>
    </row>
    <row r="493" spans="1:16" x14ac:dyDescent="0.25">
      <c r="A493" t="s">
        <v>14</v>
      </c>
      <c r="B493" t="s">
        <v>3</v>
      </c>
      <c r="C493" t="s">
        <v>13</v>
      </c>
      <c r="D493" t="s">
        <v>1</v>
      </c>
      <c r="E493">
        <v>260</v>
      </c>
      <c r="F493">
        <v>300</v>
      </c>
      <c r="G493">
        <v>897900</v>
      </c>
      <c r="H493">
        <v>89790</v>
      </c>
      <c r="I493" s="1">
        <v>808110</v>
      </c>
      <c r="J493">
        <v>748250</v>
      </c>
      <c r="K493" s="1">
        <v>59860</v>
      </c>
      <c r="L493" s="3">
        <f>(K493/I493)</f>
        <v>7.407407407407407E-2</v>
      </c>
      <c r="M493" s="2">
        <v>41699</v>
      </c>
      <c r="N493">
        <v>3</v>
      </c>
      <c r="O493" t="s">
        <v>22</v>
      </c>
      <c r="P493">
        <v>2014</v>
      </c>
    </row>
    <row r="494" spans="1:16" x14ac:dyDescent="0.25">
      <c r="A494" t="s">
        <v>4</v>
      </c>
      <c r="B494" t="s">
        <v>7</v>
      </c>
      <c r="C494" t="s">
        <v>13</v>
      </c>
      <c r="D494" t="s">
        <v>1</v>
      </c>
      <c r="E494">
        <v>260</v>
      </c>
      <c r="F494">
        <v>12</v>
      </c>
      <c r="G494">
        <v>42246</v>
      </c>
      <c r="H494">
        <v>4224.6000000000004</v>
      </c>
      <c r="I494" s="1">
        <v>38021.399999999994</v>
      </c>
      <c r="J494">
        <v>10561.5</v>
      </c>
      <c r="K494" s="1">
        <v>27459.899999999998</v>
      </c>
      <c r="L494" s="3">
        <f>(K494/I494)</f>
        <v>0.72222222222222232</v>
      </c>
      <c r="M494" s="2">
        <v>41730</v>
      </c>
      <c r="N494">
        <v>4</v>
      </c>
      <c r="O494" t="s">
        <v>21</v>
      </c>
      <c r="P494">
        <v>2014</v>
      </c>
    </row>
    <row r="495" spans="1:16" x14ac:dyDescent="0.25">
      <c r="A495" t="s">
        <v>8</v>
      </c>
      <c r="B495" t="s">
        <v>11</v>
      </c>
      <c r="C495" t="s">
        <v>13</v>
      </c>
      <c r="D495" t="s">
        <v>1</v>
      </c>
      <c r="E495">
        <v>260</v>
      </c>
      <c r="F495">
        <v>20</v>
      </c>
      <c r="G495">
        <v>40780</v>
      </c>
      <c r="H495">
        <v>4078</v>
      </c>
      <c r="I495" s="1">
        <v>36702</v>
      </c>
      <c r="J495">
        <v>20390</v>
      </c>
      <c r="K495" s="1">
        <v>16312</v>
      </c>
      <c r="L495" s="3">
        <f>(K495/I495)</f>
        <v>0.44444444444444442</v>
      </c>
      <c r="M495" s="2">
        <v>41760</v>
      </c>
      <c r="N495">
        <v>5</v>
      </c>
      <c r="O495" t="s">
        <v>18</v>
      </c>
      <c r="P495">
        <v>2014</v>
      </c>
    </row>
    <row r="496" spans="1:16" x14ac:dyDescent="0.25">
      <c r="A496" t="s">
        <v>4</v>
      </c>
      <c r="B496" t="s">
        <v>19</v>
      </c>
      <c r="C496" t="s">
        <v>13</v>
      </c>
      <c r="D496" t="s">
        <v>1</v>
      </c>
      <c r="E496">
        <v>260</v>
      </c>
      <c r="F496">
        <v>12</v>
      </c>
      <c r="G496">
        <v>30888</v>
      </c>
      <c r="H496">
        <v>3088.8</v>
      </c>
      <c r="I496" s="1">
        <v>27799.200000000001</v>
      </c>
      <c r="J496">
        <v>7722</v>
      </c>
      <c r="K496" s="1">
        <v>20077.2</v>
      </c>
      <c r="L496" s="3">
        <f>(K496/I496)</f>
        <v>0.72222222222222221</v>
      </c>
      <c r="M496" s="2">
        <v>41852</v>
      </c>
      <c r="N496">
        <v>8</v>
      </c>
      <c r="O496" t="s">
        <v>17</v>
      </c>
      <c r="P496">
        <v>2014</v>
      </c>
    </row>
    <row r="497" spans="1:16" x14ac:dyDescent="0.25">
      <c r="A497" t="s">
        <v>8</v>
      </c>
      <c r="B497" t="s">
        <v>7</v>
      </c>
      <c r="C497" t="s">
        <v>13</v>
      </c>
      <c r="D497" t="s">
        <v>1</v>
      </c>
      <c r="E497">
        <v>260</v>
      </c>
      <c r="F497">
        <v>350</v>
      </c>
      <c r="G497">
        <v>247450</v>
      </c>
      <c r="H497">
        <v>24745</v>
      </c>
      <c r="I497" s="1">
        <v>222705</v>
      </c>
      <c r="J497">
        <v>183820</v>
      </c>
      <c r="K497" s="1">
        <v>38885</v>
      </c>
      <c r="L497" s="3">
        <f>(K497/I497)</f>
        <v>0.17460317460317459</v>
      </c>
      <c r="M497" s="2">
        <v>41883</v>
      </c>
      <c r="N497">
        <v>9</v>
      </c>
      <c r="O497" t="s">
        <v>15</v>
      </c>
      <c r="P497">
        <v>2014</v>
      </c>
    </row>
    <row r="498" spans="1:16" x14ac:dyDescent="0.25">
      <c r="A498" t="s">
        <v>23</v>
      </c>
      <c r="B498" t="s">
        <v>16</v>
      </c>
      <c r="C498" t="s">
        <v>13</v>
      </c>
      <c r="D498" t="s">
        <v>1</v>
      </c>
      <c r="E498">
        <v>260</v>
      </c>
      <c r="F498">
        <v>15</v>
      </c>
      <c r="G498">
        <v>31080</v>
      </c>
      <c r="H498">
        <v>3108</v>
      </c>
      <c r="I498" s="1">
        <v>27972</v>
      </c>
      <c r="J498">
        <v>20720</v>
      </c>
      <c r="K498" s="1">
        <v>7252</v>
      </c>
      <c r="L498" s="3">
        <f>(K498/I498)</f>
        <v>0.25925925925925924</v>
      </c>
      <c r="M498" s="2">
        <v>41974</v>
      </c>
      <c r="N498">
        <v>12</v>
      </c>
      <c r="O498" t="s">
        <v>12</v>
      </c>
      <c r="P498">
        <v>2014</v>
      </c>
    </row>
    <row r="499" spans="1:16" x14ac:dyDescent="0.25">
      <c r="A499" t="s">
        <v>14</v>
      </c>
      <c r="B499" t="s">
        <v>16</v>
      </c>
      <c r="C499" t="s">
        <v>13</v>
      </c>
      <c r="D499" t="s">
        <v>1</v>
      </c>
      <c r="E499">
        <v>260</v>
      </c>
      <c r="F499">
        <v>300</v>
      </c>
      <c r="G499">
        <v>255900</v>
      </c>
      <c r="H499">
        <v>25590</v>
      </c>
      <c r="I499" s="1">
        <v>230310</v>
      </c>
      <c r="J499">
        <v>213250</v>
      </c>
      <c r="K499" s="1">
        <v>17060</v>
      </c>
      <c r="L499" s="3">
        <f>(K499/I499)</f>
        <v>7.407407407407407E-2</v>
      </c>
      <c r="M499" s="2">
        <v>41974</v>
      </c>
      <c r="N499">
        <v>12</v>
      </c>
      <c r="O499" t="s">
        <v>9</v>
      </c>
      <c r="P499">
        <v>2014</v>
      </c>
    </row>
    <row r="500" spans="1:16" x14ac:dyDescent="0.25">
      <c r="A500" t="s">
        <v>4</v>
      </c>
      <c r="B500" t="s">
        <v>16</v>
      </c>
      <c r="C500" t="s">
        <v>28</v>
      </c>
      <c r="D500" t="s">
        <v>1</v>
      </c>
      <c r="E500">
        <v>3</v>
      </c>
      <c r="F500">
        <v>12</v>
      </c>
      <c r="G500">
        <v>14376</v>
      </c>
      <c r="H500">
        <v>1581.36</v>
      </c>
      <c r="I500" s="1">
        <v>12794.64</v>
      </c>
      <c r="J500">
        <v>3594</v>
      </c>
      <c r="K500" s="1">
        <v>9200.64</v>
      </c>
      <c r="L500" s="3">
        <f>(K500/I500)</f>
        <v>0.7191011235955056</v>
      </c>
      <c r="M500" s="2">
        <v>41548</v>
      </c>
      <c r="N500">
        <v>10</v>
      </c>
      <c r="O500" t="s">
        <v>5</v>
      </c>
      <c r="P500">
        <v>2013</v>
      </c>
    </row>
    <row r="501" spans="1:16" x14ac:dyDescent="0.25">
      <c r="A501" t="s">
        <v>8</v>
      </c>
      <c r="B501" t="s">
        <v>16</v>
      </c>
      <c r="C501" t="s">
        <v>6</v>
      </c>
      <c r="D501" t="s">
        <v>1</v>
      </c>
      <c r="E501">
        <v>10</v>
      </c>
      <c r="F501">
        <v>7</v>
      </c>
      <c r="G501">
        <v>17724</v>
      </c>
      <c r="H501">
        <v>1949.6399999999999</v>
      </c>
      <c r="I501" s="1">
        <v>15774.36</v>
      </c>
      <c r="J501">
        <v>12660</v>
      </c>
      <c r="K501" s="1">
        <v>3114.3599999999997</v>
      </c>
      <c r="L501" s="3">
        <f>(K501/I501)</f>
        <v>0.1974317817014446</v>
      </c>
      <c r="M501" s="2">
        <v>41730</v>
      </c>
      <c r="N501">
        <v>4</v>
      </c>
      <c r="O501" t="s">
        <v>0</v>
      </c>
      <c r="P501">
        <v>2014</v>
      </c>
    </row>
    <row r="502" spans="1:16" x14ac:dyDescent="0.25">
      <c r="A502" t="s">
        <v>4</v>
      </c>
      <c r="B502" t="s">
        <v>16</v>
      </c>
      <c r="C502" t="s">
        <v>6</v>
      </c>
      <c r="D502" t="s">
        <v>1</v>
      </c>
      <c r="E502">
        <v>10</v>
      </c>
      <c r="F502">
        <v>12</v>
      </c>
      <c r="G502">
        <v>14376</v>
      </c>
      <c r="H502">
        <v>1581.36</v>
      </c>
      <c r="I502" s="1">
        <v>12794.64</v>
      </c>
      <c r="J502">
        <v>3594</v>
      </c>
      <c r="K502" s="1">
        <v>9200.64</v>
      </c>
      <c r="L502" s="3">
        <f>(K502/I502)</f>
        <v>0.7191011235955056</v>
      </c>
      <c r="M502" s="2">
        <v>41548</v>
      </c>
      <c r="N502">
        <v>10</v>
      </c>
      <c r="O502" t="s">
        <v>26</v>
      </c>
      <c r="P502">
        <v>2013</v>
      </c>
    </row>
    <row r="503" spans="1:16" x14ac:dyDescent="0.25">
      <c r="A503" t="s">
        <v>23</v>
      </c>
      <c r="B503" t="s">
        <v>7</v>
      </c>
      <c r="C503" t="s">
        <v>27</v>
      </c>
      <c r="D503" t="s">
        <v>1</v>
      </c>
      <c r="E503">
        <v>120</v>
      </c>
      <c r="F503">
        <v>15</v>
      </c>
      <c r="G503">
        <v>5760</v>
      </c>
      <c r="H503">
        <v>633.59999999999991</v>
      </c>
      <c r="I503" s="1">
        <v>5126.3999999999996</v>
      </c>
      <c r="J503">
        <v>3840</v>
      </c>
      <c r="K503" s="1">
        <v>1286.3999999999999</v>
      </c>
      <c r="L503" s="3">
        <f>(K503/I503)</f>
        <v>0.25093632958801498</v>
      </c>
      <c r="M503" s="2">
        <v>41640</v>
      </c>
      <c r="N503">
        <v>1</v>
      </c>
      <c r="O503" t="s">
        <v>25</v>
      </c>
      <c r="P503">
        <v>2014</v>
      </c>
    </row>
    <row r="504" spans="1:16" x14ac:dyDescent="0.25">
      <c r="A504" t="s">
        <v>4</v>
      </c>
      <c r="B504" t="s">
        <v>19</v>
      </c>
      <c r="C504" t="s">
        <v>27</v>
      </c>
      <c r="D504" t="s">
        <v>1</v>
      </c>
      <c r="E504">
        <v>120</v>
      </c>
      <c r="F504">
        <v>12</v>
      </c>
      <c r="G504">
        <v>5664</v>
      </c>
      <c r="H504">
        <v>623.04</v>
      </c>
      <c r="I504" s="1">
        <v>5040.96</v>
      </c>
      <c r="J504">
        <v>1416</v>
      </c>
      <c r="K504" s="1">
        <v>3624.96</v>
      </c>
      <c r="L504" s="3">
        <f>(K504/I504)</f>
        <v>0.7191011235955056</v>
      </c>
      <c r="M504" s="2">
        <v>41913</v>
      </c>
      <c r="N504">
        <v>10</v>
      </c>
      <c r="O504" t="s">
        <v>24</v>
      </c>
      <c r="P504">
        <v>2014</v>
      </c>
    </row>
    <row r="505" spans="1:16" x14ac:dyDescent="0.25">
      <c r="A505" t="s">
        <v>8</v>
      </c>
      <c r="B505" t="s">
        <v>3</v>
      </c>
      <c r="C505" t="s">
        <v>2</v>
      </c>
      <c r="D505" t="s">
        <v>1</v>
      </c>
      <c r="E505">
        <v>250</v>
      </c>
      <c r="F505">
        <v>7</v>
      </c>
      <c r="G505">
        <v>11053</v>
      </c>
      <c r="H505">
        <v>1215.83</v>
      </c>
      <c r="I505" s="1">
        <v>9837.17</v>
      </c>
      <c r="J505">
        <v>7895</v>
      </c>
      <c r="K505" s="1">
        <v>1942.17</v>
      </c>
      <c r="L505" s="3">
        <f>(K505/I505)</f>
        <v>0.19743178170144463</v>
      </c>
      <c r="M505" s="2">
        <v>41699</v>
      </c>
      <c r="N505">
        <v>3</v>
      </c>
      <c r="O505" t="s">
        <v>22</v>
      </c>
      <c r="P505">
        <v>2014</v>
      </c>
    </row>
    <row r="506" spans="1:16" x14ac:dyDescent="0.25">
      <c r="A506" t="s">
        <v>4</v>
      </c>
      <c r="B506" t="s">
        <v>11</v>
      </c>
      <c r="C506" t="s">
        <v>2</v>
      </c>
      <c r="D506" t="s">
        <v>1</v>
      </c>
      <c r="E506">
        <v>250</v>
      </c>
      <c r="F506">
        <v>12</v>
      </c>
      <c r="G506">
        <v>12060</v>
      </c>
      <c r="H506">
        <v>1326.6</v>
      </c>
      <c r="I506" s="1">
        <v>10733.4</v>
      </c>
      <c r="J506">
        <v>3015</v>
      </c>
      <c r="K506" s="1">
        <v>7718.4</v>
      </c>
      <c r="L506" s="3">
        <f>(K506/I506)</f>
        <v>0.7191011235955056</v>
      </c>
      <c r="M506" s="2">
        <v>41518</v>
      </c>
      <c r="N506">
        <v>9</v>
      </c>
      <c r="O506" t="s">
        <v>21</v>
      </c>
      <c r="P506">
        <v>2013</v>
      </c>
    </row>
    <row r="507" spans="1:16" x14ac:dyDescent="0.25">
      <c r="A507" t="s">
        <v>23</v>
      </c>
      <c r="B507" t="s">
        <v>3</v>
      </c>
      <c r="C507" t="s">
        <v>13</v>
      </c>
      <c r="D507" t="s">
        <v>1</v>
      </c>
      <c r="E507">
        <v>260</v>
      </c>
      <c r="F507">
        <v>15</v>
      </c>
      <c r="G507">
        <v>47992.5</v>
      </c>
      <c r="H507">
        <v>5279.1749999999993</v>
      </c>
      <c r="I507" s="1">
        <v>42713.324999999997</v>
      </c>
      <c r="J507">
        <v>31995</v>
      </c>
      <c r="K507" s="1">
        <v>10718.324999999999</v>
      </c>
      <c r="L507" s="3">
        <f>(K507/I507)</f>
        <v>0.25093632958801498</v>
      </c>
      <c r="M507" s="2">
        <v>41821</v>
      </c>
      <c r="N507">
        <v>7</v>
      </c>
      <c r="O507" t="s">
        <v>18</v>
      </c>
      <c r="P507">
        <v>2014</v>
      </c>
    </row>
    <row r="508" spans="1:16" x14ac:dyDescent="0.25">
      <c r="A508" t="s">
        <v>4</v>
      </c>
      <c r="B508" t="s">
        <v>19</v>
      </c>
      <c r="C508" t="s">
        <v>13</v>
      </c>
      <c r="D508" t="s">
        <v>1</v>
      </c>
      <c r="E508">
        <v>260</v>
      </c>
      <c r="F508">
        <v>12</v>
      </c>
      <c r="G508">
        <v>5664</v>
      </c>
      <c r="H508">
        <v>623.04</v>
      </c>
      <c r="I508" s="1">
        <v>5040.96</v>
      </c>
      <c r="J508">
        <v>1416</v>
      </c>
      <c r="K508" s="1">
        <v>3624.96</v>
      </c>
      <c r="L508" s="3">
        <f>(K508/I508)</f>
        <v>0.7191011235955056</v>
      </c>
      <c r="M508" s="2">
        <v>41913</v>
      </c>
      <c r="N508">
        <v>10</v>
      </c>
      <c r="O508" t="s">
        <v>17</v>
      </c>
      <c r="P508">
        <v>2014</v>
      </c>
    </row>
    <row r="509" spans="1:16" x14ac:dyDescent="0.25">
      <c r="A509" t="s">
        <v>4</v>
      </c>
      <c r="B509" t="s">
        <v>7</v>
      </c>
      <c r="C509" t="s">
        <v>28</v>
      </c>
      <c r="D509" t="s">
        <v>1</v>
      </c>
      <c r="E509">
        <v>3</v>
      </c>
      <c r="F509">
        <v>12</v>
      </c>
      <c r="G509">
        <v>23244</v>
      </c>
      <c r="H509">
        <v>2556.84</v>
      </c>
      <c r="I509" s="1">
        <v>20687.16</v>
      </c>
      <c r="J509">
        <v>5811</v>
      </c>
      <c r="K509" s="1">
        <v>14876.16</v>
      </c>
      <c r="L509" s="3">
        <f>(K509/I509)</f>
        <v>0.7191011235955056</v>
      </c>
      <c r="M509" s="2">
        <v>41671</v>
      </c>
      <c r="N509">
        <v>2</v>
      </c>
      <c r="O509" t="s">
        <v>15</v>
      </c>
      <c r="P509">
        <v>2014</v>
      </c>
    </row>
    <row r="510" spans="1:16" x14ac:dyDescent="0.25">
      <c r="A510" t="s">
        <v>8</v>
      </c>
      <c r="B510" t="s">
        <v>19</v>
      </c>
      <c r="C510" t="s">
        <v>28</v>
      </c>
      <c r="D510" t="s">
        <v>1</v>
      </c>
      <c r="E510">
        <v>3</v>
      </c>
      <c r="F510">
        <v>350</v>
      </c>
      <c r="G510">
        <v>277200</v>
      </c>
      <c r="H510">
        <v>30492</v>
      </c>
      <c r="I510" s="1">
        <v>246708</v>
      </c>
      <c r="J510">
        <v>205920</v>
      </c>
      <c r="K510" s="1">
        <v>40788</v>
      </c>
      <c r="L510" s="3">
        <f>(K510/I510)</f>
        <v>0.1653290529695024</v>
      </c>
      <c r="M510" s="2">
        <v>41699</v>
      </c>
      <c r="N510">
        <v>3</v>
      </c>
      <c r="O510" t="s">
        <v>12</v>
      </c>
      <c r="P510">
        <v>2014</v>
      </c>
    </row>
    <row r="511" spans="1:16" x14ac:dyDescent="0.25">
      <c r="A511" t="s">
        <v>14</v>
      </c>
      <c r="B511" t="s">
        <v>19</v>
      </c>
      <c r="C511" t="s">
        <v>28</v>
      </c>
      <c r="D511" t="s">
        <v>1</v>
      </c>
      <c r="E511">
        <v>3</v>
      </c>
      <c r="F511">
        <v>300</v>
      </c>
      <c r="G511">
        <v>843300</v>
      </c>
      <c r="H511">
        <v>92763</v>
      </c>
      <c r="I511" s="1">
        <v>750537</v>
      </c>
      <c r="J511">
        <v>702750</v>
      </c>
      <c r="K511" s="1">
        <v>47787</v>
      </c>
      <c r="L511" s="3">
        <f>(K511/I511)</f>
        <v>6.3670411985018729E-2</v>
      </c>
      <c r="M511" s="2">
        <v>41821</v>
      </c>
      <c r="N511">
        <v>7</v>
      </c>
      <c r="O511" t="s">
        <v>9</v>
      </c>
      <c r="P511">
        <v>2014</v>
      </c>
    </row>
    <row r="512" spans="1:16" x14ac:dyDescent="0.25">
      <c r="A512" t="s">
        <v>20</v>
      </c>
      <c r="B512" t="s">
        <v>16</v>
      </c>
      <c r="C512" t="s">
        <v>28</v>
      </c>
      <c r="D512" t="s">
        <v>1</v>
      </c>
      <c r="E512">
        <v>3</v>
      </c>
      <c r="F512">
        <v>125</v>
      </c>
      <c r="G512">
        <v>305125</v>
      </c>
      <c r="H512">
        <v>33563.75</v>
      </c>
      <c r="I512" s="1">
        <v>271561.25</v>
      </c>
      <c r="J512">
        <v>292920</v>
      </c>
      <c r="K512" s="1">
        <v>-21358.75</v>
      </c>
      <c r="L512" s="3">
        <f>(K512/I512)</f>
        <v>-7.8651685393258425E-2</v>
      </c>
      <c r="M512" s="2">
        <v>41913</v>
      </c>
      <c r="N512">
        <v>10</v>
      </c>
      <c r="O512" t="s">
        <v>5</v>
      </c>
      <c r="P512">
        <v>2014</v>
      </c>
    </row>
    <row r="513" spans="1:16" x14ac:dyDescent="0.25">
      <c r="A513" t="s">
        <v>23</v>
      </c>
      <c r="B513" t="s">
        <v>7</v>
      </c>
      <c r="C513" t="s">
        <v>28</v>
      </c>
      <c r="D513" t="s">
        <v>1</v>
      </c>
      <c r="E513">
        <v>3</v>
      </c>
      <c r="F513">
        <v>15</v>
      </c>
      <c r="G513">
        <v>23400</v>
      </c>
      <c r="H513">
        <v>2574</v>
      </c>
      <c r="I513" s="1">
        <v>20826</v>
      </c>
      <c r="J513">
        <v>15600</v>
      </c>
      <c r="K513" s="1">
        <v>5226</v>
      </c>
      <c r="L513" s="3">
        <f>(K513/I513)</f>
        <v>0.25093632958801498</v>
      </c>
      <c r="M513" s="2">
        <v>41579</v>
      </c>
      <c r="N513">
        <v>11</v>
      </c>
      <c r="O513" t="s">
        <v>0</v>
      </c>
      <c r="P513">
        <v>2013</v>
      </c>
    </row>
    <row r="514" spans="1:16" x14ac:dyDescent="0.25">
      <c r="A514" t="s">
        <v>8</v>
      </c>
      <c r="B514" t="s">
        <v>11</v>
      </c>
      <c r="C514" t="s">
        <v>28</v>
      </c>
      <c r="D514" t="s">
        <v>1</v>
      </c>
      <c r="E514">
        <v>3</v>
      </c>
      <c r="F514">
        <v>7</v>
      </c>
      <c r="G514">
        <v>18942</v>
      </c>
      <c r="H514">
        <v>2083.62</v>
      </c>
      <c r="I514" s="1">
        <v>16858.38</v>
      </c>
      <c r="J514">
        <v>13530</v>
      </c>
      <c r="K514" s="1">
        <v>3328.380000000001</v>
      </c>
      <c r="L514" s="3">
        <f>(K514/I514)</f>
        <v>0.19743178170144468</v>
      </c>
      <c r="M514" s="2">
        <v>41579</v>
      </c>
      <c r="N514">
        <v>11</v>
      </c>
      <c r="O514" t="s">
        <v>26</v>
      </c>
      <c r="P514">
        <v>2013</v>
      </c>
    </row>
    <row r="515" spans="1:16" x14ac:dyDescent="0.25">
      <c r="A515" t="s">
        <v>8</v>
      </c>
      <c r="B515" t="s">
        <v>19</v>
      </c>
      <c r="C515" t="s">
        <v>10</v>
      </c>
      <c r="D515" t="s">
        <v>1</v>
      </c>
      <c r="E515">
        <v>5</v>
      </c>
      <c r="F515">
        <v>350</v>
      </c>
      <c r="G515">
        <v>268100</v>
      </c>
      <c r="H515">
        <v>29491</v>
      </c>
      <c r="I515" s="1">
        <v>238609</v>
      </c>
      <c r="J515">
        <v>199160</v>
      </c>
      <c r="K515" s="1">
        <v>39449</v>
      </c>
      <c r="L515" s="3">
        <f>(K515/I515)</f>
        <v>0.1653290529695024</v>
      </c>
      <c r="M515" s="2">
        <v>41640</v>
      </c>
      <c r="N515">
        <v>1</v>
      </c>
      <c r="O515" t="s">
        <v>25</v>
      </c>
      <c r="P515">
        <v>2014</v>
      </c>
    </row>
    <row r="516" spans="1:16" x14ac:dyDescent="0.25">
      <c r="A516" t="s">
        <v>8</v>
      </c>
      <c r="B516" t="s">
        <v>19</v>
      </c>
      <c r="C516" t="s">
        <v>10</v>
      </c>
      <c r="D516" t="s">
        <v>1</v>
      </c>
      <c r="E516">
        <v>5</v>
      </c>
      <c r="F516">
        <v>20</v>
      </c>
      <c r="G516">
        <v>59840</v>
      </c>
      <c r="H516">
        <v>6582.4</v>
      </c>
      <c r="I516" s="1">
        <v>53257.599999999999</v>
      </c>
      <c r="J516">
        <v>29920</v>
      </c>
      <c r="K516" s="1">
        <v>23337.599999999999</v>
      </c>
      <c r="L516" s="3">
        <f>(K516/I516)</f>
        <v>0.4382022471910112</v>
      </c>
      <c r="M516" s="2">
        <v>41548</v>
      </c>
      <c r="N516">
        <v>10</v>
      </c>
      <c r="O516" t="s">
        <v>24</v>
      </c>
      <c r="P516">
        <v>2013</v>
      </c>
    </row>
    <row r="517" spans="1:16" x14ac:dyDescent="0.25">
      <c r="A517" t="s">
        <v>23</v>
      </c>
      <c r="B517" t="s">
        <v>11</v>
      </c>
      <c r="C517" t="s">
        <v>10</v>
      </c>
      <c r="D517" t="s">
        <v>1</v>
      </c>
      <c r="E517">
        <v>5</v>
      </c>
      <c r="F517">
        <v>15</v>
      </c>
      <c r="G517">
        <v>32355</v>
      </c>
      <c r="H517">
        <v>3559.05</v>
      </c>
      <c r="I517" s="1">
        <v>28795.95</v>
      </c>
      <c r="J517">
        <v>21570</v>
      </c>
      <c r="K517" s="1">
        <v>7225.9500000000007</v>
      </c>
      <c r="L517" s="3">
        <f>(K517/I517)</f>
        <v>0.25093632958801498</v>
      </c>
      <c r="M517" s="2">
        <v>41974</v>
      </c>
      <c r="N517">
        <v>12</v>
      </c>
      <c r="O517" t="s">
        <v>22</v>
      </c>
      <c r="P517">
        <v>2014</v>
      </c>
    </row>
    <row r="518" spans="1:16" x14ac:dyDescent="0.25">
      <c r="A518" t="s">
        <v>14</v>
      </c>
      <c r="B518" t="s">
        <v>7</v>
      </c>
      <c r="C518" t="s">
        <v>6</v>
      </c>
      <c r="D518" t="s">
        <v>1</v>
      </c>
      <c r="E518">
        <v>10</v>
      </c>
      <c r="F518">
        <v>300</v>
      </c>
      <c r="G518">
        <v>261900</v>
      </c>
      <c r="H518">
        <v>28809</v>
      </c>
      <c r="I518" s="1">
        <v>233091</v>
      </c>
      <c r="J518">
        <v>218250</v>
      </c>
      <c r="K518" s="1">
        <v>14841</v>
      </c>
      <c r="L518" s="3">
        <f>(K518/I518)</f>
        <v>6.3670411985018729E-2</v>
      </c>
      <c r="M518" s="2">
        <v>41640</v>
      </c>
      <c r="N518">
        <v>1</v>
      </c>
      <c r="O518" t="s">
        <v>21</v>
      </c>
      <c r="P518">
        <v>2014</v>
      </c>
    </row>
    <row r="519" spans="1:16" x14ac:dyDescent="0.25">
      <c r="A519" t="s">
        <v>8</v>
      </c>
      <c r="B519" t="s">
        <v>11</v>
      </c>
      <c r="C519" t="s">
        <v>6</v>
      </c>
      <c r="D519" t="s">
        <v>1</v>
      </c>
      <c r="E519">
        <v>10</v>
      </c>
      <c r="F519">
        <v>20</v>
      </c>
      <c r="G519">
        <v>22440</v>
      </c>
      <c r="H519">
        <v>2468.4</v>
      </c>
      <c r="I519" s="1">
        <v>19971.599999999999</v>
      </c>
      <c r="J519">
        <v>11220</v>
      </c>
      <c r="K519" s="1">
        <v>8751.5999999999985</v>
      </c>
      <c r="L519" s="3">
        <f>(K519/I519)</f>
        <v>0.4382022471910112</v>
      </c>
      <c r="M519" s="2">
        <v>41699</v>
      </c>
      <c r="N519">
        <v>3</v>
      </c>
      <c r="O519" t="s">
        <v>18</v>
      </c>
      <c r="P519">
        <v>2014</v>
      </c>
    </row>
    <row r="520" spans="1:16" x14ac:dyDescent="0.25">
      <c r="A520" t="s">
        <v>8</v>
      </c>
      <c r="B520" t="s">
        <v>7</v>
      </c>
      <c r="C520" t="s">
        <v>6</v>
      </c>
      <c r="D520" t="s">
        <v>1</v>
      </c>
      <c r="E520">
        <v>10</v>
      </c>
      <c r="F520">
        <v>350</v>
      </c>
      <c r="G520">
        <v>736575</v>
      </c>
      <c r="H520">
        <v>81023.25</v>
      </c>
      <c r="I520" s="1">
        <v>655551.75</v>
      </c>
      <c r="J520">
        <v>547170</v>
      </c>
      <c r="K520" s="1">
        <v>108381.75</v>
      </c>
      <c r="L520" s="3">
        <f>(K520/I520)</f>
        <v>0.1653290529695024</v>
      </c>
      <c r="M520" s="2">
        <v>41821</v>
      </c>
      <c r="N520">
        <v>7</v>
      </c>
      <c r="O520" t="s">
        <v>17</v>
      </c>
      <c r="P520">
        <v>2014</v>
      </c>
    </row>
    <row r="521" spans="1:16" x14ac:dyDescent="0.25">
      <c r="A521" t="s">
        <v>4</v>
      </c>
      <c r="B521" t="s">
        <v>7</v>
      </c>
      <c r="C521" t="s">
        <v>6</v>
      </c>
      <c r="D521" t="s">
        <v>1</v>
      </c>
      <c r="E521">
        <v>10</v>
      </c>
      <c r="F521">
        <v>12</v>
      </c>
      <c r="G521">
        <v>48312</v>
      </c>
      <c r="H521">
        <v>5314.32</v>
      </c>
      <c r="I521" s="1">
        <v>42997.68</v>
      </c>
      <c r="J521">
        <v>12078</v>
      </c>
      <c r="K521" s="1">
        <v>30919.68</v>
      </c>
      <c r="L521" s="3">
        <f>(K521/I521)</f>
        <v>0.7191011235955056</v>
      </c>
      <c r="M521" s="2">
        <v>41821</v>
      </c>
      <c r="N521">
        <v>7</v>
      </c>
      <c r="O521" t="s">
        <v>15</v>
      </c>
      <c r="P521">
        <v>2014</v>
      </c>
    </row>
    <row r="522" spans="1:16" x14ac:dyDescent="0.25">
      <c r="A522" t="s">
        <v>4</v>
      </c>
      <c r="B522" t="s">
        <v>16</v>
      </c>
      <c r="C522" t="s">
        <v>6</v>
      </c>
      <c r="D522" t="s">
        <v>1</v>
      </c>
      <c r="E522">
        <v>10</v>
      </c>
      <c r="F522">
        <v>12</v>
      </c>
      <c r="G522">
        <v>29106</v>
      </c>
      <c r="H522">
        <v>3201.66</v>
      </c>
      <c r="I522" s="1">
        <v>25904.340000000004</v>
      </c>
      <c r="J522">
        <v>7276.5</v>
      </c>
      <c r="K522" s="1">
        <v>18627.840000000004</v>
      </c>
      <c r="L522" s="3">
        <f>(K522/I522)</f>
        <v>0.71910112359550571</v>
      </c>
      <c r="M522" s="2">
        <v>41821</v>
      </c>
      <c r="N522">
        <v>7</v>
      </c>
      <c r="O522" t="s">
        <v>12</v>
      </c>
      <c r="P522">
        <v>2014</v>
      </c>
    </row>
    <row r="523" spans="1:16" x14ac:dyDescent="0.25">
      <c r="A523" t="s">
        <v>8</v>
      </c>
      <c r="B523" t="s">
        <v>7</v>
      </c>
      <c r="C523" t="s">
        <v>6</v>
      </c>
      <c r="D523" t="s">
        <v>1</v>
      </c>
      <c r="E523">
        <v>10</v>
      </c>
      <c r="F523">
        <v>20</v>
      </c>
      <c r="G523">
        <v>47880</v>
      </c>
      <c r="H523">
        <v>5266.8</v>
      </c>
      <c r="I523" s="1">
        <v>42613.2</v>
      </c>
      <c r="J523">
        <v>23940</v>
      </c>
      <c r="K523" s="1">
        <v>18673.199999999997</v>
      </c>
      <c r="L523" s="3">
        <f>(K523/I523)</f>
        <v>0.4382022471910112</v>
      </c>
      <c r="M523" s="2">
        <v>41852</v>
      </c>
      <c r="N523">
        <v>8</v>
      </c>
      <c r="O523" t="s">
        <v>9</v>
      </c>
      <c r="P523">
        <v>2014</v>
      </c>
    </row>
    <row r="524" spans="1:16" x14ac:dyDescent="0.25">
      <c r="A524" t="s">
        <v>23</v>
      </c>
      <c r="B524" t="s">
        <v>11</v>
      </c>
      <c r="C524" t="s">
        <v>6</v>
      </c>
      <c r="D524" t="s">
        <v>1</v>
      </c>
      <c r="E524">
        <v>10</v>
      </c>
      <c r="F524">
        <v>15</v>
      </c>
      <c r="G524">
        <v>29760</v>
      </c>
      <c r="H524">
        <v>3273.6</v>
      </c>
      <c r="I524" s="1">
        <v>26486.400000000001</v>
      </c>
      <c r="J524">
        <v>19840</v>
      </c>
      <c r="K524" s="1">
        <v>6646.4000000000015</v>
      </c>
      <c r="L524" s="3">
        <f>(K524/I524)</f>
        <v>0.25093632958801504</v>
      </c>
      <c r="M524" s="2">
        <v>41852</v>
      </c>
      <c r="N524">
        <v>8</v>
      </c>
      <c r="O524" t="s">
        <v>5</v>
      </c>
      <c r="P524">
        <v>2014</v>
      </c>
    </row>
    <row r="525" spans="1:16" x14ac:dyDescent="0.25">
      <c r="A525" t="s">
        <v>20</v>
      </c>
      <c r="B525" t="s">
        <v>16</v>
      </c>
      <c r="C525" t="s">
        <v>6</v>
      </c>
      <c r="D525" t="s">
        <v>1</v>
      </c>
      <c r="E525">
        <v>10</v>
      </c>
      <c r="F525">
        <v>125</v>
      </c>
      <c r="G525">
        <v>305125</v>
      </c>
      <c r="H525">
        <v>33563.75</v>
      </c>
      <c r="I525" s="1">
        <v>271561.25</v>
      </c>
      <c r="J525">
        <v>292920</v>
      </c>
      <c r="K525" s="1">
        <v>-21358.75</v>
      </c>
      <c r="L525" s="3">
        <f>(K525/I525)</f>
        <v>-7.8651685393258425E-2</v>
      </c>
      <c r="M525" s="2">
        <v>41913</v>
      </c>
      <c r="N525">
        <v>10</v>
      </c>
      <c r="O525" t="s">
        <v>0</v>
      </c>
      <c r="P525">
        <v>2014</v>
      </c>
    </row>
    <row r="526" spans="1:16" x14ac:dyDescent="0.25">
      <c r="A526" t="s">
        <v>8</v>
      </c>
      <c r="B526" t="s">
        <v>19</v>
      </c>
      <c r="C526" t="s">
        <v>6</v>
      </c>
      <c r="D526" t="s">
        <v>1</v>
      </c>
      <c r="E526">
        <v>10</v>
      </c>
      <c r="F526">
        <v>20</v>
      </c>
      <c r="G526">
        <v>59840</v>
      </c>
      <c r="H526">
        <v>6582.4</v>
      </c>
      <c r="I526" s="1">
        <v>53257.599999999999</v>
      </c>
      <c r="J526">
        <v>29920</v>
      </c>
      <c r="K526" s="1">
        <v>23337.599999999999</v>
      </c>
      <c r="L526" s="3">
        <f>(K526/I526)</f>
        <v>0.4382022471910112</v>
      </c>
      <c r="M526" s="2">
        <v>41548</v>
      </c>
      <c r="N526">
        <v>10</v>
      </c>
      <c r="O526" t="s">
        <v>26</v>
      </c>
      <c r="P526">
        <v>2013</v>
      </c>
    </row>
    <row r="527" spans="1:16" x14ac:dyDescent="0.25">
      <c r="A527" t="s">
        <v>14</v>
      </c>
      <c r="B527" t="s">
        <v>7</v>
      </c>
      <c r="C527" t="s">
        <v>6</v>
      </c>
      <c r="D527" t="s">
        <v>1</v>
      </c>
      <c r="E527">
        <v>10</v>
      </c>
      <c r="F527">
        <v>300</v>
      </c>
      <c r="G527">
        <v>409800</v>
      </c>
      <c r="H527">
        <v>45078</v>
      </c>
      <c r="I527" s="1">
        <v>364722</v>
      </c>
      <c r="J527">
        <v>341500</v>
      </c>
      <c r="K527" s="1">
        <v>23222</v>
      </c>
      <c r="L527" s="3">
        <f>(K527/I527)</f>
        <v>6.3670411985018729E-2</v>
      </c>
      <c r="M527" s="2">
        <v>41944</v>
      </c>
      <c r="N527">
        <v>11</v>
      </c>
      <c r="O527" t="s">
        <v>25</v>
      </c>
      <c r="P527">
        <v>2014</v>
      </c>
    </row>
    <row r="528" spans="1:16" x14ac:dyDescent="0.25">
      <c r="A528" t="s">
        <v>8</v>
      </c>
      <c r="B528" t="s">
        <v>16</v>
      </c>
      <c r="C528" t="s">
        <v>27</v>
      </c>
      <c r="D528" t="s">
        <v>1</v>
      </c>
      <c r="E528">
        <v>120</v>
      </c>
      <c r="F528">
        <v>20</v>
      </c>
      <c r="G528">
        <v>56100</v>
      </c>
      <c r="H528">
        <v>6171</v>
      </c>
      <c r="I528" s="1">
        <v>49929</v>
      </c>
      <c r="J528">
        <v>28050</v>
      </c>
      <c r="K528" s="1">
        <v>21879</v>
      </c>
      <c r="L528" s="3">
        <f>(K528/I528)</f>
        <v>0.43820224719101125</v>
      </c>
      <c r="M528" s="2">
        <v>41518</v>
      </c>
      <c r="N528">
        <v>9</v>
      </c>
      <c r="O528" t="s">
        <v>24</v>
      </c>
      <c r="P528">
        <v>2013</v>
      </c>
    </row>
    <row r="529" spans="1:16" x14ac:dyDescent="0.25">
      <c r="A529" t="s">
        <v>23</v>
      </c>
      <c r="B529" t="s">
        <v>11</v>
      </c>
      <c r="C529" t="s">
        <v>27</v>
      </c>
      <c r="D529" t="s">
        <v>1</v>
      </c>
      <c r="E529">
        <v>120</v>
      </c>
      <c r="F529">
        <v>15</v>
      </c>
      <c r="G529">
        <v>9825</v>
      </c>
      <c r="H529">
        <v>1080.75</v>
      </c>
      <c r="I529" s="1">
        <v>8744.25</v>
      </c>
      <c r="J529">
        <v>6550</v>
      </c>
      <c r="K529" s="1">
        <v>2194.25</v>
      </c>
      <c r="L529" s="3">
        <f>(K529/I529)</f>
        <v>0.25093632958801498</v>
      </c>
      <c r="M529" s="2">
        <v>41518</v>
      </c>
      <c r="N529">
        <v>9</v>
      </c>
      <c r="O529" t="s">
        <v>22</v>
      </c>
      <c r="P529">
        <v>2013</v>
      </c>
    </row>
    <row r="530" spans="1:16" x14ac:dyDescent="0.25">
      <c r="A530" t="s">
        <v>8</v>
      </c>
      <c r="B530" t="s">
        <v>11</v>
      </c>
      <c r="C530" t="s">
        <v>27</v>
      </c>
      <c r="D530" t="s">
        <v>1</v>
      </c>
      <c r="E530">
        <v>120</v>
      </c>
      <c r="F530">
        <v>350</v>
      </c>
      <c r="G530">
        <v>120400</v>
      </c>
      <c r="H530">
        <v>13244</v>
      </c>
      <c r="I530" s="1">
        <v>107156</v>
      </c>
      <c r="J530">
        <v>89440</v>
      </c>
      <c r="K530" s="1">
        <v>17716</v>
      </c>
      <c r="L530" s="3">
        <f>(K530/I530)</f>
        <v>0.1653290529695024</v>
      </c>
      <c r="M530" s="2">
        <v>41548</v>
      </c>
      <c r="N530">
        <v>10</v>
      </c>
      <c r="O530" t="s">
        <v>21</v>
      </c>
      <c r="P530">
        <v>2013</v>
      </c>
    </row>
    <row r="531" spans="1:16" x14ac:dyDescent="0.25">
      <c r="A531" t="s">
        <v>8</v>
      </c>
      <c r="B531" t="s">
        <v>7</v>
      </c>
      <c r="C531" t="s">
        <v>27</v>
      </c>
      <c r="D531" t="s">
        <v>1</v>
      </c>
      <c r="E531">
        <v>120</v>
      </c>
      <c r="F531">
        <v>7</v>
      </c>
      <c r="G531">
        <v>12656</v>
      </c>
      <c r="H531">
        <v>1392.16</v>
      </c>
      <c r="I531" s="1">
        <v>11263.84</v>
      </c>
      <c r="J531">
        <v>9040</v>
      </c>
      <c r="K531" s="1">
        <v>2223.84</v>
      </c>
      <c r="L531" s="3">
        <f>(K531/I531)</f>
        <v>0.19743178170144463</v>
      </c>
      <c r="M531" s="2">
        <v>41944</v>
      </c>
      <c r="N531">
        <v>11</v>
      </c>
      <c r="O531" t="s">
        <v>18</v>
      </c>
      <c r="P531">
        <v>2014</v>
      </c>
    </row>
    <row r="532" spans="1:16" x14ac:dyDescent="0.25">
      <c r="A532" t="s">
        <v>4</v>
      </c>
      <c r="B532" t="s">
        <v>16</v>
      </c>
      <c r="C532" t="s">
        <v>2</v>
      </c>
      <c r="D532" t="s">
        <v>1</v>
      </c>
      <c r="E532">
        <v>250</v>
      </c>
      <c r="F532">
        <v>12</v>
      </c>
      <c r="G532">
        <v>20808</v>
      </c>
      <c r="H532">
        <v>2288.88</v>
      </c>
      <c r="I532" s="1">
        <v>18519.12</v>
      </c>
      <c r="J532">
        <v>5202</v>
      </c>
      <c r="K532" s="1">
        <v>13317.119999999999</v>
      </c>
      <c r="L532" s="3">
        <f>(K532/I532)</f>
        <v>0.7191011235955056</v>
      </c>
      <c r="M532" s="2">
        <v>41640</v>
      </c>
      <c r="N532">
        <v>1</v>
      </c>
      <c r="O532" t="s">
        <v>17</v>
      </c>
      <c r="P532">
        <v>2014</v>
      </c>
    </row>
    <row r="533" spans="1:16" x14ac:dyDescent="0.25">
      <c r="A533" t="s">
        <v>20</v>
      </c>
      <c r="B533" t="s">
        <v>11</v>
      </c>
      <c r="C533" t="s">
        <v>2</v>
      </c>
      <c r="D533" t="s">
        <v>1</v>
      </c>
      <c r="E533">
        <v>250</v>
      </c>
      <c r="F533">
        <v>125</v>
      </c>
      <c r="G533">
        <v>69250</v>
      </c>
      <c r="H533">
        <v>7617.5</v>
      </c>
      <c r="I533" s="1">
        <v>61632.5</v>
      </c>
      <c r="J533">
        <v>66480</v>
      </c>
      <c r="K533" s="1">
        <v>-4847.5</v>
      </c>
      <c r="L533" s="3">
        <f>(K533/I533)</f>
        <v>-7.8651685393258425E-2</v>
      </c>
      <c r="M533" s="2">
        <v>41640</v>
      </c>
      <c r="N533">
        <v>1</v>
      </c>
      <c r="O533" t="s">
        <v>15</v>
      </c>
      <c r="P533">
        <v>2014</v>
      </c>
    </row>
    <row r="534" spans="1:16" x14ac:dyDescent="0.25">
      <c r="A534" t="s">
        <v>8</v>
      </c>
      <c r="B534" t="s">
        <v>7</v>
      </c>
      <c r="C534" t="s">
        <v>2</v>
      </c>
      <c r="D534" t="s">
        <v>1</v>
      </c>
      <c r="E534">
        <v>250</v>
      </c>
      <c r="F534">
        <v>20</v>
      </c>
      <c r="G534">
        <v>58700</v>
      </c>
      <c r="H534">
        <v>6457</v>
      </c>
      <c r="I534" s="1">
        <v>52243</v>
      </c>
      <c r="J534">
        <v>29350</v>
      </c>
      <c r="K534" s="1">
        <v>22893</v>
      </c>
      <c r="L534" s="3">
        <f>(K534/I534)</f>
        <v>0.43820224719101125</v>
      </c>
      <c r="M534" s="2">
        <v>41579</v>
      </c>
      <c r="N534">
        <v>11</v>
      </c>
      <c r="O534" t="s">
        <v>12</v>
      </c>
      <c r="P534">
        <v>2013</v>
      </c>
    </row>
    <row r="535" spans="1:16" x14ac:dyDescent="0.25">
      <c r="A535" t="s">
        <v>20</v>
      </c>
      <c r="B535" t="s">
        <v>19</v>
      </c>
      <c r="C535" t="s">
        <v>13</v>
      </c>
      <c r="D535" t="s">
        <v>1</v>
      </c>
      <c r="E535">
        <v>260</v>
      </c>
      <c r="F535">
        <v>125</v>
      </c>
      <c r="G535">
        <v>395625</v>
      </c>
      <c r="H535">
        <v>43518.75</v>
      </c>
      <c r="I535" s="1">
        <v>352106.25</v>
      </c>
      <c r="J535">
        <v>379800</v>
      </c>
      <c r="K535" s="1">
        <v>-27693.75</v>
      </c>
      <c r="L535" s="3">
        <f>(K535/I535)</f>
        <v>-7.8651685393258425E-2</v>
      </c>
      <c r="M535" s="2">
        <v>41640</v>
      </c>
      <c r="N535">
        <v>1</v>
      </c>
      <c r="O535" t="s">
        <v>9</v>
      </c>
      <c r="P535">
        <v>2014</v>
      </c>
    </row>
    <row r="536" spans="1:16" x14ac:dyDescent="0.25">
      <c r="A536" t="s">
        <v>8</v>
      </c>
      <c r="B536" t="s">
        <v>11</v>
      </c>
      <c r="C536" t="s">
        <v>13</v>
      </c>
      <c r="D536" t="s">
        <v>1</v>
      </c>
      <c r="E536">
        <v>260</v>
      </c>
      <c r="F536">
        <v>20</v>
      </c>
      <c r="G536">
        <v>52580</v>
      </c>
      <c r="H536">
        <v>5783.8</v>
      </c>
      <c r="I536" s="1">
        <v>46796.2</v>
      </c>
      <c r="J536">
        <v>26290</v>
      </c>
      <c r="K536" s="1">
        <v>20506.199999999997</v>
      </c>
      <c r="L536" s="3">
        <f>(K536/I536)</f>
        <v>0.4382022471910112</v>
      </c>
      <c r="M536" s="2">
        <v>41640</v>
      </c>
      <c r="N536">
        <v>1</v>
      </c>
      <c r="O536" t="s">
        <v>5</v>
      </c>
      <c r="P536">
        <v>2014</v>
      </c>
    </row>
    <row r="537" spans="1:16" x14ac:dyDescent="0.25">
      <c r="A537" t="s">
        <v>20</v>
      </c>
      <c r="B537" t="s">
        <v>16</v>
      </c>
      <c r="C537" t="s">
        <v>13</v>
      </c>
      <c r="D537" t="s">
        <v>1</v>
      </c>
      <c r="E537">
        <v>260</v>
      </c>
      <c r="F537">
        <v>125</v>
      </c>
      <c r="G537">
        <v>179125</v>
      </c>
      <c r="H537">
        <v>19703.75</v>
      </c>
      <c r="I537" s="1">
        <v>159421.25</v>
      </c>
      <c r="J537">
        <v>171960</v>
      </c>
      <c r="K537" s="1">
        <v>-12538.75</v>
      </c>
      <c r="L537" s="3">
        <f>(K537/I537)</f>
        <v>-7.8651685393258425E-2</v>
      </c>
      <c r="M537" s="2">
        <v>41760</v>
      </c>
      <c r="N537">
        <v>5</v>
      </c>
      <c r="O537" t="s">
        <v>0</v>
      </c>
      <c r="P537">
        <v>2014</v>
      </c>
    </row>
    <row r="538" spans="1:16" x14ac:dyDescent="0.25">
      <c r="A538" t="s">
        <v>20</v>
      </c>
      <c r="B538" t="s">
        <v>11</v>
      </c>
      <c r="C538" t="s">
        <v>13</v>
      </c>
      <c r="D538" t="s">
        <v>1</v>
      </c>
      <c r="E538">
        <v>260</v>
      </c>
      <c r="F538">
        <v>125</v>
      </c>
      <c r="G538">
        <v>118375</v>
      </c>
      <c r="H538">
        <v>13021.25</v>
      </c>
      <c r="I538" s="1">
        <v>105353.75</v>
      </c>
      <c r="J538">
        <v>113640</v>
      </c>
      <c r="K538" s="1">
        <v>-8286.25</v>
      </c>
      <c r="L538" s="3">
        <f>(K538/I538)</f>
        <v>-7.8651685393258425E-2</v>
      </c>
      <c r="M538" s="2">
        <v>41518</v>
      </c>
      <c r="N538">
        <v>9</v>
      </c>
      <c r="O538" t="s">
        <v>26</v>
      </c>
      <c r="P538">
        <v>2013</v>
      </c>
    </row>
    <row r="539" spans="1:16" x14ac:dyDescent="0.25">
      <c r="A539" t="s">
        <v>8</v>
      </c>
      <c r="B539" t="s">
        <v>11</v>
      </c>
      <c r="C539" t="s">
        <v>13</v>
      </c>
      <c r="D539" t="s">
        <v>1</v>
      </c>
      <c r="E539">
        <v>260</v>
      </c>
      <c r="F539">
        <v>350</v>
      </c>
      <c r="G539">
        <v>120400</v>
      </c>
      <c r="H539">
        <v>13244</v>
      </c>
      <c r="I539" s="1">
        <v>107156</v>
      </c>
      <c r="J539">
        <v>89440</v>
      </c>
      <c r="K539" s="1">
        <v>17716</v>
      </c>
      <c r="L539" s="3">
        <f>(K539/I539)</f>
        <v>0.1653290529695024</v>
      </c>
      <c r="M539" s="2">
        <v>41548</v>
      </c>
      <c r="N539">
        <v>10</v>
      </c>
      <c r="O539" t="s">
        <v>25</v>
      </c>
      <c r="P539">
        <v>2013</v>
      </c>
    </row>
    <row r="540" spans="1:16" x14ac:dyDescent="0.25">
      <c r="A540" t="s">
        <v>23</v>
      </c>
      <c r="B540" t="s">
        <v>11</v>
      </c>
      <c r="C540" t="s">
        <v>13</v>
      </c>
      <c r="D540" t="s">
        <v>1</v>
      </c>
      <c r="E540">
        <v>260</v>
      </c>
      <c r="F540">
        <v>15</v>
      </c>
      <c r="G540">
        <v>32355</v>
      </c>
      <c r="H540">
        <v>3559.05</v>
      </c>
      <c r="I540" s="1">
        <v>28795.95</v>
      </c>
      <c r="J540">
        <v>21570</v>
      </c>
      <c r="K540" s="1">
        <v>7225.9500000000007</v>
      </c>
      <c r="L540" s="3">
        <f>(K540/I540)</f>
        <v>0.25093632958801498</v>
      </c>
      <c r="M540" s="2">
        <v>41974</v>
      </c>
      <c r="N540">
        <v>12</v>
      </c>
      <c r="O540" t="s">
        <v>24</v>
      </c>
      <c r="P540">
        <v>2014</v>
      </c>
    </row>
    <row r="541" spans="1:16" x14ac:dyDescent="0.25">
      <c r="A541" t="s">
        <v>8</v>
      </c>
      <c r="B541" t="s">
        <v>3</v>
      </c>
      <c r="C541" t="s">
        <v>6</v>
      </c>
      <c r="D541" t="s">
        <v>1</v>
      </c>
      <c r="E541">
        <v>10</v>
      </c>
      <c r="F541">
        <v>7</v>
      </c>
      <c r="G541">
        <v>2660</v>
      </c>
      <c r="H541">
        <v>292.60000000000002</v>
      </c>
      <c r="I541" s="1">
        <v>2367.4</v>
      </c>
      <c r="J541">
        <v>1900</v>
      </c>
      <c r="K541" s="1">
        <v>467.40000000000009</v>
      </c>
      <c r="L541" s="3">
        <f>(K541/I541)</f>
        <v>0.19743178170144465</v>
      </c>
      <c r="M541" s="2">
        <v>41518</v>
      </c>
      <c r="N541">
        <v>9</v>
      </c>
      <c r="O541" t="s">
        <v>22</v>
      </c>
      <c r="P541">
        <v>2013</v>
      </c>
    </row>
    <row r="542" spans="1:16" x14ac:dyDescent="0.25">
      <c r="A542" t="s">
        <v>8</v>
      </c>
      <c r="B542" t="s">
        <v>11</v>
      </c>
      <c r="C542" t="s">
        <v>28</v>
      </c>
      <c r="D542" t="s">
        <v>1</v>
      </c>
      <c r="E542">
        <v>3</v>
      </c>
      <c r="F542">
        <v>350</v>
      </c>
      <c r="G542">
        <v>310100</v>
      </c>
      <c r="H542">
        <v>37212</v>
      </c>
      <c r="I542" s="1">
        <v>272888</v>
      </c>
      <c r="J542">
        <v>230360</v>
      </c>
      <c r="K542" s="1">
        <v>42528</v>
      </c>
      <c r="L542" s="3">
        <f>(K542/I542)</f>
        <v>0.15584415584415584</v>
      </c>
      <c r="M542" s="2">
        <v>41791</v>
      </c>
      <c r="N542">
        <v>6</v>
      </c>
      <c r="O542" t="s">
        <v>21</v>
      </c>
      <c r="P542">
        <v>2014</v>
      </c>
    </row>
    <row r="543" spans="1:16" x14ac:dyDescent="0.25">
      <c r="A543" t="s">
        <v>20</v>
      </c>
      <c r="B543" t="s">
        <v>7</v>
      </c>
      <c r="C543" t="s">
        <v>28</v>
      </c>
      <c r="D543" t="s">
        <v>1</v>
      </c>
      <c r="E543">
        <v>3</v>
      </c>
      <c r="F543">
        <v>125</v>
      </c>
      <c r="G543">
        <v>302000</v>
      </c>
      <c r="H543">
        <v>36240</v>
      </c>
      <c r="I543" s="1">
        <v>265760</v>
      </c>
      <c r="J543">
        <v>289920</v>
      </c>
      <c r="K543" s="1">
        <v>-24160</v>
      </c>
      <c r="L543" s="3">
        <f>(K543/I543)</f>
        <v>-9.0909090909090912E-2</v>
      </c>
      <c r="M543" s="2">
        <v>41518</v>
      </c>
      <c r="N543">
        <v>9</v>
      </c>
      <c r="O543" t="s">
        <v>18</v>
      </c>
      <c r="P543">
        <v>2013</v>
      </c>
    </row>
    <row r="544" spans="1:16" x14ac:dyDescent="0.25">
      <c r="A544" t="s">
        <v>20</v>
      </c>
      <c r="B544" t="s">
        <v>11</v>
      </c>
      <c r="C544" t="s">
        <v>28</v>
      </c>
      <c r="D544" t="s">
        <v>1</v>
      </c>
      <c r="E544">
        <v>3</v>
      </c>
      <c r="F544">
        <v>125</v>
      </c>
      <c r="G544">
        <v>269500</v>
      </c>
      <c r="H544">
        <v>32340</v>
      </c>
      <c r="I544" s="1">
        <v>237160</v>
      </c>
      <c r="J544">
        <v>258720</v>
      </c>
      <c r="K544" s="1">
        <v>-21560</v>
      </c>
      <c r="L544" s="3">
        <f>(K544/I544)</f>
        <v>-9.0909090909090912E-2</v>
      </c>
      <c r="M544" s="2">
        <v>41913</v>
      </c>
      <c r="N544">
        <v>10</v>
      </c>
      <c r="O544" t="s">
        <v>17</v>
      </c>
      <c r="P544">
        <v>2014</v>
      </c>
    </row>
    <row r="545" spans="1:16" x14ac:dyDescent="0.25">
      <c r="A545" t="s">
        <v>23</v>
      </c>
      <c r="B545" t="s">
        <v>7</v>
      </c>
      <c r="C545" t="s">
        <v>28</v>
      </c>
      <c r="D545" t="s">
        <v>1</v>
      </c>
      <c r="E545">
        <v>3</v>
      </c>
      <c r="F545">
        <v>15</v>
      </c>
      <c r="G545">
        <v>40335</v>
      </c>
      <c r="H545">
        <v>4840.2</v>
      </c>
      <c r="I545" s="1">
        <v>35494.800000000003</v>
      </c>
      <c r="J545">
        <v>26890</v>
      </c>
      <c r="K545" s="1">
        <v>8604.8000000000029</v>
      </c>
      <c r="L545" s="3">
        <f>(K545/I545)</f>
        <v>0.24242424242424249</v>
      </c>
      <c r="M545" s="2">
        <v>41944</v>
      </c>
      <c r="N545">
        <v>11</v>
      </c>
      <c r="O545" t="s">
        <v>15</v>
      </c>
      <c r="P545">
        <v>2014</v>
      </c>
    </row>
    <row r="546" spans="1:16" x14ac:dyDescent="0.25">
      <c r="A546" t="s">
        <v>23</v>
      </c>
      <c r="B546" t="s">
        <v>3</v>
      </c>
      <c r="C546" t="s">
        <v>10</v>
      </c>
      <c r="D546" t="s">
        <v>1</v>
      </c>
      <c r="E546">
        <v>5</v>
      </c>
      <c r="F546">
        <v>15</v>
      </c>
      <c r="G546">
        <v>10155</v>
      </c>
      <c r="H546">
        <v>1218.5999999999999</v>
      </c>
      <c r="I546" s="1">
        <v>8936.4</v>
      </c>
      <c r="J546">
        <v>6770</v>
      </c>
      <c r="K546" s="1">
        <v>2166.3999999999996</v>
      </c>
      <c r="L546" s="3">
        <f>(K546/I546)</f>
        <v>0.2424242424242424</v>
      </c>
      <c r="M546" s="2">
        <v>41699</v>
      </c>
      <c r="N546">
        <v>3</v>
      </c>
      <c r="O546" t="s">
        <v>12</v>
      </c>
      <c r="P546">
        <v>2014</v>
      </c>
    </row>
    <row r="547" spans="1:16" x14ac:dyDescent="0.25">
      <c r="A547" t="s">
        <v>14</v>
      </c>
      <c r="B547" t="s">
        <v>16</v>
      </c>
      <c r="C547" t="s">
        <v>10</v>
      </c>
      <c r="D547" t="s">
        <v>1</v>
      </c>
      <c r="E547">
        <v>5</v>
      </c>
      <c r="F547">
        <v>300</v>
      </c>
      <c r="G547">
        <v>531900</v>
      </c>
      <c r="H547">
        <v>63828</v>
      </c>
      <c r="I547" s="1">
        <v>468072</v>
      </c>
      <c r="J547">
        <v>443250</v>
      </c>
      <c r="K547" s="1">
        <v>24822</v>
      </c>
      <c r="L547" s="3">
        <f>(K547/I547)</f>
        <v>5.3030303030303032E-2</v>
      </c>
      <c r="M547" s="2">
        <v>41730</v>
      </c>
      <c r="N547">
        <v>4</v>
      </c>
      <c r="O547" t="s">
        <v>9</v>
      </c>
      <c r="P547">
        <v>2014</v>
      </c>
    </row>
    <row r="548" spans="1:16" x14ac:dyDescent="0.25">
      <c r="A548" t="s">
        <v>8</v>
      </c>
      <c r="B548" t="s">
        <v>11</v>
      </c>
      <c r="C548" t="s">
        <v>10</v>
      </c>
      <c r="D548" t="s">
        <v>1</v>
      </c>
      <c r="E548">
        <v>5</v>
      </c>
      <c r="F548">
        <v>7</v>
      </c>
      <c r="G548">
        <v>16940</v>
      </c>
      <c r="H548">
        <v>2032.8</v>
      </c>
      <c r="I548" s="1">
        <v>14907.2</v>
      </c>
      <c r="J548">
        <v>12100</v>
      </c>
      <c r="K548" s="1">
        <v>2807.2000000000007</v>
      </c>
      <c r="L548" s="3">
        <f>(K548/I548)</f>
        <v>0.18831168831168835</v>
      </c>
      <c r="M548" s="2">
        <v>41883</v>
      </c>
      <c r="N548">
        <v>9</v>
      </c>
      <c r="O548" t="s">
        <v>5</v>
      </c>
      <c r="P548">
        <v>2014</v>
      </c>
    </row>
    <row r="549" spans="1:16" x14ac:dyDescent="0.25">
      <c r="A549" t="s">
        <v>8</v>
      </c>
      <c r="B549" t="s">
        <v>7</v>
      </c>
      <c r="C549" t="s">
        <v>10</v>
      </c>
      <c r="D549" t="s">
        <v>1</v>
      </c>
      <c r="E549">
        <v>5</v>
      </c>
      <c r="F549">
        <v>7</v>
      </c>
      <c r="G549">
        <v>19138</v>
      </c>
      <c r="H549">
        <v>2296.56</v>
      </c>
      <c r="I549" s="1">
        <v>16841.439999999999</v>
      </c>
      <c r="J549">
        <v>13670</v>
      </c>
      <c r="K549" s="1">
        <v>3171.4399999999987</v>
      </c>
      <c r="L549" s="3">
        <f>(K549/I549)</f>
        <v>0.18831168831168824</v>
      </c>
      <c r="M549" s="2">
        <v>41913</v>
      </c>
      <c r="N549">
        <v>10</v>
      </c>
      <c r="O549" t="s">
        <v>0</v>
      </c>
      <c r="P549">
        <v>2014</v>
      </c>
    </row>
    <row r="550" spans="1:16" x14ac:dyDescent="0.25">
      <c r="A550" t="s">
        <v>8</v>
      </c>
      <c r="B550" t="s">
        <v>11</v>
      </c>
      <c r="C550" t="s">
        <v>10</v>
      </c>
      <c r="D550" t="s">
        <v>1</v>
      </c>
      <c r="E550">
        <v>5</v>
      </c>
      <c r="F550">
        <v>20</v>
      </c>
      <c r="G550">
        <v>34300</v>
      </c>
      <c r="H550">
        <v>4116</v>
      </c>
      <c r="I550" s="1">
        <v>30184</v>
      </c>
      <c r="J550">
        <v>17150</v>
      </c>
      <c r="K550" s="1">
        <v>13034</v>
      </c>
      <c r="L550" s="3">
        <f>(K550/I550)</f>
        <v>0.43181818181818182</v>
      </c>
      <c r="M550" s="2">
        <v>41548</v>
      </c>
      <c r="N550">
        <v>10</v>
      </c>
      <c r="O550" t="s">
        <v>26</v>
      </c>
      <c r="P550">
        <v>2013</v>
      </c>
    </row>
    <row r="551" spans="1:16" x14ac:dyDescent="0.25">
      <c r="A551" t="s">
        <v>14</v>
      </c>
      <c r="B551" t="s">
        <v>16</v>
      </c>
      <c r="C551" t="s">
        <v>10</v>
      </c>
      <c r="D551" t="s">
        <v>1</v>
      </c>
      <c r="E551">
        <v>5</v>
      </c>
      <c r="F551">
        <v>300</v>
      </c>
      <c r="G551">
        <v>355800</v>
      </c>
      <c r="H551">
        <v>42696</v>
      </c>
      <c r="I551" s="1">
        <v>313104</v>
      </c>
      <c r="J551">
        <v>296500</v>
      </c>
      <c r="K551" s="1">
        <v>16604</v>
      </c>
      <c r="L551" s="3">
        <f>(K551/I551)</f>
        <v>5.3030303030303032E-2</v>
      </c>
      <c r="M551" s="2">
        <v>41609</v>
      </c>
      <c r="N551">
        <v>12</v>
      </c>
      <c r="O551" t="s">
        <v>25</v>
      </c>
      <c r="P551">
        <v>2013</v>
      </c>
    </row>
    <row r="552" spans="1:16" x14ac:dyDescent="0.25">
      <c r="A552" t="s">
        <v>14</v>
      </c>
      <c r="B552" t="s">
        <v>3</v>
      </c>
      <c r="C552" t="s">
        <v>6</v>
      </c>
      <c r="D552" t="s">
        <v>1</v>
      </c>
      <c r="E552">
        <v>10</v>
      </c>
      <c r="F552">
        <v>300</v>
      </c>
      <c r="G552">
        <v>1048500</v>
      </c>
      <c r="H552">
        <v>125820</v>
      </c>
      <c r="I552" s="1">
        <v>922680</v>
      </c>
      <c r="J552">
        <v>873750</v>
      </c>
      <c r="K552" s="1">
        <v>48930</v>
      </c>
      <c r="L552" s="3">
        <f>(K552/I552)</f>
        <v>5.3030303030303032E-2</v>
      </c>
      <c r="M552" s="2">
        <v>41640</v>
      </c>
      <c r="N552">
        <v>1</v>
      </c>
      <c r="O552" t="s">
        <v>24</v>
      </c>
      <c r="P552">
        <v>2014</v>
      </c>
    </row>
    <row r="553" spans="1:16" x14ac:dyDescent="0.25">
      <c r="A553" t="s">
        <v>8</v>
      </c>
      <c r="B553" t="s">
        <v>11</v>
      </c>
      <c r="C553" t="s">
        <v>6</v>
      </c>
      <c r="D553" t="s">
        <v>1</v>
      </c>
      <c r="E553">
        <v>10</v>
      </c>
      <c r="F553">
        <v>350</v>
      </c>
      <c r="G553">
        <v>310100</v>
      </c>
      <c r="H553">
        <v>37212</v>
      </c>
      <c r="I553" s="1">
        <v>272888</v>
      </c>
      <c r="J553">
        <v>230360</v>
      </c>
      <c r="K553" s="1">
        <v>42528</v>
      </c>
      <c r="L553" s="3">
        <f>(K553/I553)</f>
        <v>0.15584415584415584</v>
      </c>
      <c r="M553" s="2">
        <v>41791</v>
      </c>
      <c r="N553">
        <v>6</v>
      </c>
      <c r="O553" t="s">
        <v>22</v>
      </c>
      <c r="P553">
        <v>2014</v>
      </c>
    </row>
    <row r="554" spans="1:16" x14ac:dyDescent="0.25">
      <c r="A554" t="s">
        <v>20</v>
      </c>
      <c r="B554" t="s">
        <v>11</v>
      </c>
      <c r="C554" t="s">
        <v>6</v>
      </c>
      <c r="D554" t="s">
        <v>1</v>
      </c>
      <c r="E554">
        <v>10</v>
      </c>
      <c r="F554">
        <v>125</v>
      </c>
      <c r="G554">
        <v>269500</v>
      </c>
      <c r="H554">
        <v>32340</v>
      </c>
      <c r="I554" s="1">
        <v>237160</v>
      </c>
      <c r="J554">
        <v>258720</v>
      </c>
      <c r="K554" s="1">
        <v>-21560</v>
      </c>
      <c r="L554" s="3">
        <f>(K554/I554)</f>
        <v>-9.0909090909090912E-2</v>
      </c>
      <c r="M554" s="2">
        <v>41913</v>
      </c>
      <c r="N554">
        <v>10</v>
      </c>
      <c r="O554" t="s">
        <v>21</v>
      </c>
      <c r="P554">
        <v>2014</v>
      </c>
    </row>
    <row r="555" spans="1:16" x14ac:dyDescent="0.25">
      <c r="A555" t="s">
        <v>8</v>
      </c>
      <c r="B555" t="s">
        <v>11</v>
      </c>
      <c r="C555" t="s">
        <v>6</v>
      </c>
      <c r="D555" t="s">
        <v>1</v>
      </c>
      <c r="E555">
        <v>10</v>
      </c>
      <c r="F555">
        <v>20</v>
      </c>
      <c r="G555">
        <v>18100</v>
      </c>
      <c r="H555">
        <v>2172</v>
      </c>
      <c r="I555" s="1">
        <v>15928</v>
      </c>
      <c r="J555">
        <v>9050</v>
      </c>
      <c r="K555" s="1">
        <v>6878</v>
      </c>
      <c r="L555" s="3">
        <f>(K555/I555)</f>
        <v>0.43181818181818182</v>
      </c>
      <c r="M555" s="2">
        <v>41913</v>
      </c>
      <c r="N555">
        <v>10</v>
      </c>
      <c r="O555" t="s">
        <v>18</v>
      </c>
      <c r="P555">
        <v>2014</v>
      </c>
    </row>
    <row r="556" spans="1:16" x14ac:dyDescent="0.25">
      <c r="A556" t="s">
        <v>8</v>
      </c>
      <c r="B556" t="s">
        <v>11</v>
      </c>
      <c r="C556" t="s">
        <v>6</v>
      </c>
      <c r="D556" t="s">
        <v>1</v>
      </c>
      <c r="E556">
        <v>10</v>
      </c>
      <c r="F556">
        <v>20</v>
      </c>
      <c r="G556">
        <v>34300</v>
      </c>
      <c r="H556">
        <v>4116</v>
      </c>
      <c r="I556" s="1">
        <v>30184</v>
      </c>
      <c r="J556">
        <v>17150</v>
      </c>
      <c r="K556" s="1">
        <v>13034</v>
      </c>
      <c r="L556" s="3">
        <f>(K556/I556)</f>
        <v>0.43181818181818182</v>
      </c>
      <c r="M556" s="2">
        <v>41548</v>
      </c>
      <c r="N556">
        <v>10</v>
      </c>
      <c r="O556" t="s">
        <v>17</v>
      </c>
      <c r="P556">
        <v>2013</v>
      </c>
    </row>
    <row r="557" spans="1:16" x14ac:dyDescent="0.25">
      <c r="A557" t="s">
        <v>8</v>
      </c>
      <c r="B557" t="s">
        <v>16</v>
      </c>
      <c r="C557" t="s">
        <v>6</v>
      </c>
      <c r="D557" t="s">
        <v>1</v>
      </c>
      <c r="E557">
        <v>10</v>
      </c>
      <c r="F557">
        <v>350</v>
      </c>
      <c r="G557">
        <v>557900</v>
      </c>
      <c r="H557">
        <v>66948</v>
      </c>
      <c r="I557" s="1">
        <v>490952</v>
      </c>
      <c r="J557">
        <v>414440</v>
      </c>
      <c r="K557" s="1">
        <v>76512</v>
      </c>
      <c r="L557" s="3">
        <f>(K557/I557)</f>
        <v>0.15584415584415584</v>
      </c>
      <c r="M557" s="2">
        <v>41944</v>
      </c>
      <c r="N557">
        <v>11</v>
      </c>
      <c r="O557" t="s">
        <v>15</v>
      </c>
      <c r="P557">
        <v>2014</v>
      </c>
    </row>
    <row r="558" spans="1:16" x14ac:dyDescent="0.25">
      <c r="A558" t="s">
        <v>14</v>
      </c>
      <c r="B558" t="s">
        <v>19</v>
      </c>
      <c r="C558" t="s">
        <v>6</v>
      </c>
      <c r="D558" t="s">
        <v>1</v>
      </c>
      <c r="E558">
        <v>10</v>
      </c>
      <c r="F558">
        <v>300</v>
      </c>
      <c r="G558">
        <v>407700</v>
      </c>
      <c r="H558">
        <v>48924</v>
      </c>
      <c r="I558" s="1">
        <v>358776</v>
      </c>
      <c r="J558">
        <v>339750</v>
      </c>
      <c r="K558" s="1">
        <v>19026</v>
      </c>
      <c r="L558" s="3">
        <f>(K558/I558)</f>
        <v>5.3030303030303032E-2</v>
      </c>
      <c r="M558" s="2">
        <v>41944</v>
      </c>
      <c r="N558">
        <v>11</v>
      </c>
      <c r="O558" t="s">
        <v>12</v>
      </c>
      <c r="P558">
        <v>2014</v>
      </c>
    </row>
    <row r="559" spans="1:16" x14ac:dyDescent="0.25">
      <c r="A559" t="s">
        <v>14</v>
      </c>
      <c r="B559" t="s">
        <v>11</v>
      </c>
      <c r="C559" t="s">
        <v>6</v>
      </c>
      <c r="D559" t="s">
        <v>1</v>
      </c>
      <c r="E559">
        <v>10</v>
      </c>
      <c r="F559">
        <v>300</v>
      </c>
      <c r="G559">
        <v>645000</v>
      </c>
      <c r="H559">
        <v>77400</v>
      </c>
      <c r="I559" s="1">
        <v>567600</v>
      </c>
      <c r="J559">
        <v>537500</v>
      </c>
      <c r="K559" s="1">
        <v>30100</v>
      </c>
      <c r="L559" s="3">
        <f>(K559/I559)</f>
        <v>5.3030303030303032E-2</v>
      </c>
      <c r="M559" s="2">
        <v>41944</v>
      </c>
      <c r="N559">
        <v>11</v>
      </c>
      <c r="O559" t="s">
        <v>9</v>
      </c>
      <c r="P559">
        <v>2014</v>
      </c>
    </row>
    <row r="560" spans="1:16" x14ac:dyDescent="0.25">
      <c r="A560" t="s">
        <v>8</v>
      </c>
      <c r="B560" t="s">
        <v>11</v>
      </c>
      <c r="C560" t="s">
        <v>6</v>
      </c>
      <c r="D560" t="s">
        <v>1</v>
      </c>
      <c r="E560">
        <v>10</v>
      </c>
      <c r="F560">
        <v>350</v>
      </c>
      <c r="G560">
        <v>418950</v>
      </c>
      <c r="H560">
        <v>50274</v>
      </c>
      <c r="I560" s="1">
        <v>368676</v>
      </c>
      <c r="J560">
        <v>311220</v>
      </c>
      <c r="K560" s="1">
        <v>57456</v>
      </c>
      <c r="L560" s="3">
        <f>(K560/I560)</f>
        <v>0.15584415584415584</v>
      </c>
      <c r="M560" s="2">
        <v>41944</v>
      </c>
      <c r="N560">
        <v>11</v>
      </c>
      <c r="O560" t="s">
        <v>5</v>
      </c>
      <c r="P560">
        <v>2014</v>
      </c>
    </row>
    <row r="561" spans="1:16" x14ac:dyDescent="0.25">
      <c r="A561" t="s">
        <v>23</v>
      </c>
      <c r="B561" t="s">
        <v>11</v>
      </c>
      <c r="C561" t="s">
        <v>6</v>
      </c>
      <c r="D561" t="s">
        <v>1</v>
      </c>
      <c r="E561">
        <v>10</v>
      </c>
      <c r="F561">
        <v>15</v>
      </c>
      <c r="G561">
        <v>5700</v>
      </c>
      <c r="H561">
        <v>684</v>
      </c>
      <c r="I561" s="1">
        <v>5016</v>
      </c>
      <c r="J561">
        <v>3800</v>
      </c>
      <c r="K561" s="1">
        <v>1216</v>
      </c>
      <c r="L561" s="3">
        <f>(K561/I561)</f>
        <v>0.24242424242424243</v>
      </c>
      <c r="M561" s="2">
        <v>41609</v>
      </c>
      <c r="N561">
        <v>12</v>
      </c>
      <c r="O561" t="s">
        <v>0</v>
      </c>
      <c r="P561">
        <v>2013</v>
      </c>
    </row>
    <row r="562" spans="1:16" x14ac:dyDescent="0.25">
      <c r="A562" t="s">
        <v>8</v>
      </c>
      <c r="B562" t="s">
        <v>11</v>
      </c>
      <c r="C562" t="s">
        <v>6</v>
      </c>
      <c r="D562" t="s">
        <v>1</v>
      </c>
      <c r="E562">
        <v>10</v>
      </c>
      <c r="F562">
        <v>20</v>
      </c>
      <c r="G562">
        <v>24660</v>
      </c>
      <c r="H562">
        <v>2959.2</v>
      </c>
      <c r="I562" s="1">
        <v>21700.799999999999</v>
      </c>
      <c r="J562">
        <v>12330</v>
      </c>
      <c r="K562" s="1">
        <v>9370.7999999999993</v>
      </c>
      <c r="L562" s="3">
        <f>(K562/I562)</f>
        <v>0.43181818181818182</v>
      </c>
      <c r="M562" s="2">
        <v>41974</v>
      </c>
      <c r="N562">
        <v>12</v>
      </c>
      <c r="O562" t="s">
        <v>26</v>
      </c>
      <c r="P562">
        <v>2014</v>
      </c>
    </row>
    <row r="563" spans="1:16" x14ac:dyDescent="0.25">
      <c r="A563" t="s">
        <v>8</v>
      </c>
      <c r="B563" t="s">
        <v>11</v>
      </c>
      <c r="C563" t="s">
        <v>27</v>
      </c>
      <c r="D563" t="s">
        <v>1</v>
      </c>
      <c r="E563">
        <v>120</v>
      </c>
      <c r="F563">
        <v>350</v>
      </c>
      <c r="G563">
        <v>488250</v>
      </c>
      <c r="H563">
        <v>58590</v>
      </c>
      <c r="I563" s="1">
        <v>429660</v>
      </c>
      <c r="J563">
        <v>362700</v>
      </c>
      <c r="K563" s="1">
        <v>66960</v>
      </c>
      <c r="L563" s="3">
        <f>(K563/I563)</f>
        <v>0.15584415584415584</v>
      </c>
      <c r="M563" s="2">
        <v>41821</v>
      </c>
      <c r="N563">
        <v>7</v>
      </c>
      <c r="O563" t="s">
        <v>25</v>
      </c>
      <c r="P563">
        <v>2014</v>
      </c>
    </row>
    <row r="564" spans="1:16" x14ac:dyDescent="0.25">
      <c r="A564" t="s">
        <v>8</v>
      </c>
      <c r="B564" t="s">
        <v>3</v>
      </c>
      <c r="C564" t="s">
        <v>27</v>
      </c>
      <c r="D564" t="s">
        <v>1</v>
      </c>
      <c r="E564">
        <v>120</v>
      </c>
      <c r="F564">
        <v>350</v>
      </c>
      <c r="G564">
        <v>345100</v>
      </c>
      <c r="H564">
        <v>41412</v>
      </c>
      <c r="I564" s="1">
        <v>303688</v>
      </c>
      <c r="J564">
        <v>256360</v>
      </c>
      <c r="K564" s="1">
        <v>47328</v>
      </c>
      <c r="L564" s="3">
        <f>(K564/I564)</f>
        <v>0.15584415584415584</v>
      </c>
      <c r="M564" s="2">
        <v>41913</v>
      </c>
      <c r="N564">
        <v>10</v>
      </c>
      <c r="O564" t="s">
        <v>24</v>
      </c>
      <c r="P564">
        <v>2014</v>
      </c>
    </row>
    <row r="565" spans="1:16" x14ac:dyDescent="0.25">
      <c r="A565" t="s">
        <v>8</v>
      </c>
      <c r="B565" t="s">
        <v>11</v>
      </c>
      <c r="C565" t="s">
        <v>27</v>
      </c>
      <c r="D565" t="s">
        <v>1</v>
      </c>
      <c r="E565">
        <v>120</v>
      </c>
      <c r="F565">
        <v>20</v>
      </c>
      <c r="G565">
        <v>18100</v>
      </c>
      <c r="H565">
        <v>2172</v>
      </c>
      <c r="I565" s="1">
        <v>15928</v>
      </c>
      <c r="J565">
        <v>9050</v>
      </c>
      <c r="K565" s="1">
        <v>6878</v>
      </c>
      <c r="L565" s="3">
        <f>(K565/I565)</f>
        <v>0.43181818181818182</v>
      </c>
      <c r="M565" s="2">
        <v>41913</v>
      </c>
      <c r="N565">
        <v>10</v>
      </c>
      <c r="O565" t="s">
        <v>22</v>
      </c>
      <c r="P565">
        <v>2014</v>
      </c>
    </row>
    <row r="566" spans="1:16" x14ac:dyDescent="0.25">
      <c r="A566" t="s">
        <v>4</v>
      </c>
      <c r="B566" t="s">
        <v>7</v>
      </c>
      <c r="C566" t="s">
        <v>2</v>
      </c>
      <c r="D566" t="s">
        <v>1</v>
      </c>
      <c r="E566">
        <v>250</v>
      </c>
      <c r="F566">
        <v>12</v>
      </c>
      <c r="G566">
        <v>25308</v>
      </c>
      <c r="H566">
        <v>3036.96</v>
      </c>
      <c r="I566" s="1">
        <v>22271.040000000001</v>
      </c>
      <c r="J566">
        <v>6327</v>
      </c>
      <c r="K566" s="1">
        <v>15944.04</v>
      </c>
      <c r="L566" s="3">
        <f>(K566/I566)</f>
        <v>0.71590909090909094</v>
      </c>
      <c r="M566" s="2">
        <v>41760</v>
      </c>
      <c r="N566">
        <v>5</v>
      </c>
      <c r="O566" t="s">
        <v>21</v>
      </c>
      <c r="P566">
        <v>2014</v>
      </c>
    </row>
    <row r="567" spans="1:16" x14ac:dyDescent="0.25">
      <c r="A567" t="s">
        <v>23</v>
      </c>
      <c r="B567" t="s">
        <v>16</v>
      </c>
      <c r="C567" t="s">
        <v>2</v>
      </c>
      <c r="D567" t="s">
        <v>1</v>
      </c>
      <c r="E567">
        <v>250</v>
      </c>
      <c r="F567">
        <v>15</v>
      </c>
      <c r="G567">
        <v>58117.5</v>
      </c>
      <c r="H567">
        <v>6974.0999999999995</v>
      </c>
      <c r="I567" s="1">
        <v>51143.399999999994</v>
      </c>
      <c r="J567">
        <v>38745</v>
      </c>
      <c r="K567" s="1">
        <v>12398.399999999998</v>
      </c>
      <c r="L567" s="3">
        <f>(K567/I567)</f>
        <v>0.2424242424242424</v>
      </c>
      <c r="M567" s="2">
        <v>41821</v>
      </c>
      <c r="N567">
        <v>7</v>
      </c>
      <c r="O567" t="s">
        <v>18</v>
      </c>
      <c r="P567">
        <v>2014</v>
      </c>
    </row>
    <row r="568" spans="1:16" x14ac:dyDescent="0.25">
      <c r="A568" t="s">
        <v>8</v>
      </c>
      <c r="B568" t="s">
        <v>7</v>
      </c>
      <c r="C568" t="s">
        <v>2</v>
      </c>
      <c r="D568" t="s">
        <v>1</v>
      </c>
      <c r="E568">
        <v>250</v>
      </c>
      <c r="F568">
        <v>350</v>
      </c>
      <c r="G568">
        <v>218050</v>
      </c>
      <c r="H568">
        <v>26166</v>
      </c>
      <c r="I568" s="1">
        <v>191884</v>
      </c>
      <c r="J568">
        <v>161980</v>
      </c>
      <c r="K568" s="1">
        <v>29904</v>
      </c>
      <c r="L568" s="3">
        <f>(K568/I568)</f>
        <v>0.15584415584415584</v>
      </c>
      <c r="M568" s="2">
        <v>41518</v>
      </c>
      <c r="N568">
        <v>9</v>
      </c>
      <c r="O568" t="s">
        <v>17</v>
      </c>
      <c r="P568">
        <v>2013</v>
      </c>
    </row>
    <row r="569" spans="1:16" x14ac:dyDescent="0.25">
      <c r="A569" t="s">
        <v>8</v>
      </c>
      <c r="B569" t="s">
        <v>3</v>
      </c>
      <c r="C569" t="s">
        <v>2</v>
      </c>
      <c r="D569" t="s">
        <v>1</v>
      </c>
      <c r="E569">
        <v>250</v>
      </c>
      <c r="F569">
        <v>350</v>
      </c>
      <c r="G569">
        <v>345100</v>
      </c>
      <c r="H569">
        <v>41412</v>
      </c>
      <c r="I569" s="1">
        <v>303688</v>
      </c>
      <c r="J569">
        <v>256360</v>
      </c>
      <c r="K569" s="1">
        <v>47328</v>
      </c>
      <c r="L569" s="3">
        <f>(K569/I569)</f>
        <v>0.15584415584415584</v>
      </c>
      <c r="M569" s="2">
        <v>41913</v>
      </c>
      <c r="N569">
        <v>10</v>
      </c>
      <c r="O569" t="s">
        <v>15</v>
      </c>
      <c r="P569">
        <v>2014</v>
      </c>
    </row>
    <row r="570" spans="1:16" x14ac:dyDescent="0.25">
      <c r="A570" t="s">
        <v>20</v>
      </c>
      <c r="B570" t="s">
        <v>3</v>
      </c>
      <c r="C570" t="s">
        <v>2</v>
      </c>
      <c r="D570" t="s">
        <v>1</v>
      </c>
      <c r="E570">
        <v>250</v>
      </c>
      <c r="F570">
        <v>125</v>
      </c>
      <c r="G570">
        <v>298375</v>
      </c>
      <c r="H570">
        <v>35805</v>
      </c>
      <c r="I570" s="1">
        <v>262570</v>
      </c>
      <c r="J570">
        <v>286440</v>
      </c>
      <c r="K570" s="1">
        <v>-23870</v>
      </c>
      <c r="L570" s="3">
        <f>(K570/I570)</f>
        <v>-9.0909090909090912E-2</v>
      </c>
      <c r="M570" s="2">
        <v>41944</v>
      </c>
      <c r="N570">
        <v>11</v>
      </c>
      <c r="O570" t="s">
        <v>12</v>
      </c>
      <c r="P570">
        <v>2014</v>
      </c>
    </row>
    <row r="571" spans="1:16" x14ac:dyDescent="0.25">
      <c r="A571" t="s">
        <v>8</v>
      </c>
      <c r="B571" t="s">
        <v>11</v>
      </c>
      <c r="C571" t="s">
        <v>2</v>
      </c>
      <c r="D571" t="s">
        <v>1</v>
      </c>
      <c r="E571">
        <v>250</v>
      </c>
      <c r="F571">
        <v>20</v>
      </c>
      <c r="G571">
        <v>24660</v>
      </c>
      <c r="H571">
        <v>2959.2</v>
      </c>
      <c r="I571" s="1">
        <v>21700.799999999999</v>
      </c>
      <c r="J571">
        <v>12330</v>
      </c>
      <c r="K571" s="1">
        <v>9370.7999999999993</v>
      </c>
      <c r="L571" s="3">
        <f>(K571/I571)</f>
        <v>0.43181818181818182</v>
      </c>
      <c r="M571" s="2">
        <v>41974</v>
      </c>
      <c r="N571">
        <v>12</v>
      </c>
      <c r="O571" t="s">
        <v>9</v>
      </c>
      <c r="P571">
        <v>2014</v>
      </c>
    </row>
    <row r="572" spans="1:16" x14ac:dyDescent="0.25">
      <c r="A572" t="s">
        <v>8</v>
      </c>
      <c r="B572" t="s">
        <v>3</v>
      </c>
      <c r="C572" t="s">
        <v>13</v>
      </c>
      <c r="D572" t="s">
        <v>1</v>
      </c>
      <c r="E572">
        <v>260</v>
      </c>
      <c r="F572">
        <v>350</v>
      </c>
      <c r="G572">
        <v>94500</v>
      </c>
      <c r="H572">
        <v>11340</v>
      </c>
      <c r="I572" s="1">
        <v>83160</v>
      </c>
      <c r="J572">
        <v>70200</v>
      </c>
      <c r="K572" s="1">
        <v>12960</v>
      </c>
      <c r="L572" s="3">
        <f>(K572/I572)</f>
        <v>0.15584415584415584</v>
      </c>
      <c r="M572" s="2">
        <v>41671</v>
      </c>
      <c r="N572">
        <v>2</v>
      </c>
      <c r="O572" t="s">
        <v>5</v>
      </c>
      <c r="P572">
        <v>2014</v>
      </c>
    </row>
    <row r="573" spans="1:16" x14ac:dyDescent="0.25">
      <c r="A573" t="s">
        <v>8</v>
      </c>
      <c r="B573" t="s">
        <v>16</v>
      </c>
      <c r="C573" t="s">
        <v>13</v>
      </c>
      <c r="D573" t="s">
        <v>1</v>
      </c>
      <c r="E573">
        <v>260</v>
      </c>
      <c r="F573">
        <v>7</v>
      </c>
      <c r="G573">
        <v>23950.5</v>
      </c>
      <c r="H573">
        <v>2874.06</v>
      </c>
      <c r="I573" s="1">
        <v>21076.44</v>
      </c>
      <c r="J573">
        <v>17107.5</v>
      </c>
      <c r="K573" s="1">
        <v>3968.9399999999987</v>
      </c>
      <c r="L573" s="3">
        <f>(K573/I573)</f>
        <v>0.18831168831168826</v>
      </c>
      <c r="M573" s="2">
        <v>41821</v>
      </c>
      <c r="N573">
        <v>7</v>
      </c>
      <c r="O573" t="s">
        <v>0</v>
      </c>
      <c r="P573">
        <v>2014</v>
      </c>
    </row>
    <row r="574" spans="1:16" x14ac:dyDescent="0.25">
      <c r="A574" t="s">
        <v>8</v>
      </c>
      <c r="B574" t="s">
        <v>7</v>
      </c>
      <c r="C574" t="s">
        <v>13</v>
      </c>
      <c r="D574" t="s">
        <v>1</v>
      </c>
      <c r="E574">
        <v>260</v>
      </c>
      <c r="F574">
        <v>7</v>
      </c>
      <c r="G574">
        <v>19138</v>
      </c>
      <c r="H574">
        <v>2296.56</v>
      </c>
      <c r="I574" s="1">
        <v>16841.439999999999</v>
      </c>
      <c r="J574">
        <v>13670</v>
      </c>
      <c r="K574" s="1">
        <v>3171.4399999999987</v>
      </c>
      <c r="L574" s="3">
        <f>(K574/I574)</f>
        <v>0.18831168831168824</v>
      </c>
      <c r="M574" s="2">
        <v>41913</v>
      </c>
      <c r="N574">
        <v>10</v>
      </c>
      <c r="O574" t="s">
        <v>26</v>
      </c>
      <c r="P574">
        <v>2014</v>
      </c>
    </row>
    <row r="575" spans="1:16" x14ac:dyDescent="0.25">
      <c r="A575" t="s">
        <v>23</v>
      </c>
      <c r="B575" t="s">
        <v>3</v>
      </c>
      <c r="C575" t="s">
        <v>13</v>
      </c>
      <c r="D575" t="s">
        <v>1</v>
      </c>
      <c r="E575">
        <v>260</v>
      </c>
      <c r="F575">
        <v>15</v>
      </c>
      <c r="G575">
        <v>38220</v>
      </c>
      <c r="H575">
        <v>4586.3999999999996</v>
      </c>
      <c r="I575" s="1">
        <v>33633.599999999999</v>
      </c>
      <c r="J575">
        <v>25480</v>
      </c>
      <c r="K575" s="1">
        <v>8153.5999999999985</v>
      </c>
      <c r="L575" s="3">
        <f>(K575/I575)</f>
        <v>0.2424242424242424</v>
      </c>
      <c r="M575" s="2">
        <v>41579</v>
      </c>
      <c r="N575">
        <v>11</v>
      </c>
      <c r="O575" t="s">
        <v>25</v>
      </c>
      <c r="P575">
        <v>2013</v>
      </c>
    </row>
    <row r="576" spans="1:16" x14ac:dyDescent="0.25">
      <c r="A576" t="s">
        <v>8</v>
      </c>
      <c r="B576" t="s">
        <v>16</v>
      </c>
      <c r="C576" t="s">
        <v>28</v>
      </c>
      <c r="D576" t="s">
        <v>1</v>
      </c>
      <c r="E576">
        <v>3</v>
      </c>
      <c r="F576">
        <v>20</v>
      </c>
      <c r="G576">
        <v>50430</v>
      </c>
      <c r="H576">
        <v>6051.6</v>
      </c>
      <c r="I576" s="1">
        <v>44378.399999999994</v>
      </c>
      <c r="J576">
        <v>25215</v>
      </c>
      <c r="K576" s="1">
        <v>19163.399999999998</v>
      </c>
      <c r="L576" s="3">
        <f>(K576/I576)</f>
        <v>0.43181818181818182</v>
      </c>
      <c r="M576" s="2">
        <v>41640</v>
      </c>
      <c r="N576">
        <v>1</v>
      </c>
      <c r="O576" t="s">
        <v>24</v>
      </c>
      <c r="P576">
        <v>2014</v>
      </c>
    </row>
    <row r="577" spans="1:16" x14ac:dyDescent="0.25">
      <c r="A577" t="s">
        <v>4</v>
      </c>
      <c r="B577" t="s">
        <v>11</v>
      </c>
      <c r="C577" t="s">
        <v>10</v>
      </c>
      <c r="D577" t="s">
        <v>1</v>
      </c>
      <c r="E577">
        <v>5</v>
      </c>
      <c r="F577">
        <v>12</v>
      </c>
      <c r="G577">
        <v>31932</v>
      </c>
      <c r="H577">
        <v>3831.84</v>
      </c>
      <c r="I577" s="1">
        <v>28100.16</v>
      </c>
      <c r="J577">
        <v>7983</v>
      </c>
      <c r="K577" s="1">
        <v>20117.16</v>
      </c>
      <c r="L577" s="3">
        <f>(K577/I577)</f>
        <v>0.71590909090909094</v>
      </c>
      <c r="M577" s="2">
        <v>41760</v>
      </c>
      <c r="N577">
        <v>5</v>
      </c>
      <c r="O577" t="s">
        <v>22</v>
      </c>
      <c r="P577">
        <v>2014</v>
      </c>
    </row>
    <row r="578" spans="1:16" x14ac:dyDescent="0.25">
      <c r="A578" t="s">
        <v>8</v>
      </c>
      <c r="B578" t="s">
        <v>19</v>
      </c>
      <c r="C578" t="s">
        <v>6</v>
      </c>
      <c r="D578" t="s">
        <v>1</v>
      </c>
      <c r="E578">
        <v>10</v>
      </c>
      <c r="F578">
        <v>20</v>
      </c>
      <c r="G578">
        <v>30620</v>
      </c>
      <c r="H578">
        <v>3674.4</v>
      </c>
      <c r="I578" s="1">
        <v>26945.599999999999</v>
      </c>
      <c r="J578">
        <v>15310</v>
      </c>
      <c r="K578" s="1">
        <v>11635.599999999999</v>
      </c>
      <c r="L578" s="3">
        <f>(K578/I578)</f>
        <v>0.43181818181818177</v>
      </c>
      <c r="M578" s="2">
        <v>41974</v>
      </c>
      <c r="N578">
        <v>12</v>
      </c>
      <c r="O578" t="s">
        <v>21</v>
      </c>
      <c r="P578">
        <v>2014</v>
      </c>
    </row>
    <row r="579" spans="1:16" x14ac:dyDescent="0.25">
      <c r="A579" t="s">
        <v>8</v>
      </c>
      <c r="B579" t="s">
        <v>16</v>
      </c>
      <c r="C579" t="s">
        <v>2</v>
      </c>
      <c r="D579" t="s">
        <v>1</v>
      </c>
      <c r="E579">
        <v>250</v>
      </c>
      <c r="F579">
        <v>7</v>
      </c>
      <c r="G579">
        <v>10437</v>
      </c>
      <c r="H579">
        <v>1252.44</v>
      </c>
      <c r="I579" s="1">
        <v>9184.56</v>
      </c>
      <c r="J579">
        <v>7455</v>
      </c>
      <c r="K579" s="1">
        <v>1729.5599999999995</v>
      </c>
      <c r="L579" s="3">
        <f>(K579/I579)</f>
        <v>0.18831168831168826</v>
      </c>
      <c r="M579" s="2">
        <v>41699</v>
      </c>
      <c r="N579">
        <v>3</v>
      </c>
      <c r="O579" t="s">
        <v>18</v>
      </c>
      <c r="P579">
        <v>2014</v>
      </c>
    </row>
    <row r="580" spans="1:16" x14ac:dyDescent="0.25">
      <c r="A580" t="s">
        <v>8</v>
      </c>
      <c r="B580" t="s">
        <v>19</v>
      </c>
      <c r="C580" t="s">
        <v>2</v>
      </c>
      <c r="D580" t="s">
        <v>1</v>
      </c>
      <c r="E580">
        <v>250</v>
      </c>
      <c r="F580">
        <v>20</v>
      </c>
      <c r="G580">
        <v>30620</v>
      </c>
      <c r="H580">
        <v>3674.4</v>
      </c>
      <c r="I580" s="1">
        <v>26945.599999999999</v>
      </c>
      <c r="J580">
        <v>15310</v>
      </c>
      <c r="K580" s="1">
        <v>11635.599999999999</v>
      </c>
      <c r="L580" s="3">
        <f>(K580/I580)</f>
        <v>0.43181818181818177</v>
      </c>
      <c r="M580" s="2">
        <v>41974</v>
      </c>
      <c r="N580">
        <v>12</v>
      </c>
      <c r="O580" t="s">
        <v>17</v>
      </c>
      <c r="P580">
        <v>2014</v>
      </c>
    </row>
    <row r="581" spans="1:16" x14ac:dyDescent="0.25">
      <c r="A581" t="s">
        <v>4</v>
      </c>
      <c r="B581" t="s">
        <v>7</v>
      </c>
      <c r="C581" t="s">
        <v>13</v>
      </c>
      <c r="D581" t="s">
        <v>1</v>
      </c>
      <c r="E581">
        <v>260</v>
      </c>
      <c r="F581">
        <v>12</v>
      </c>
      <c r="G581">
        <v>33132</v>
      </c>
      <c r="H581">
        <v>3975.84</v>
      </c>
      <c r="I581" s="1">
        <v>29156.16</v>
      </c>
      <c r="J581">
        <v>8283</v>
      </c>
      <c r="K581" s="1">
        <v>20873.16</v>
      </c>
      <c r="L581" s="3">
        <f>(K581/I581)</f>
        <v>0.71590909090909094</v>
      </c>
      <c r="M581" s="2">
        <v>41518</v>
      </c>
      <c r="N581">
        <v>9</v>
      </c>
      <c r="O581" t="s">
        <v>15</v>
      </c>
      <c r="P581">
        <v>2013</v>
      </c>
    </row>
    <row r="582" spans="1:16" x14ac:dyDescent="0.25">
      <c r="A582" t="s">
        <v>23</v>
      </c>
      <c r="B582" t="s">
        <v>3</v>
      </c>
      <c r="C582" t="s">
        <v>28</v>
      </c>
      <c r="D582" t="s">
        <v>1</v>
      </c>
      <c r="E582">
        <v>3</v>
      </c>
      <c r="F582">
        <v>15</v>
      </c>
      <c r="G582">
        <v>38505</v>
      </c>
      <c r="H582">
        <v>5005.6499999999996</v>
      </c>
      <c r="I582" s="1">
        <v>33499.35</v>
      </c>
      <c r="J582">
        <v>25670</v>
      </c>
      <c r="K582" s="1">
        <v>7829.3499999999985</v>
      </c>
      <c r="L582" s="3">
        <f>(K582/I582)</f>
        <v>0.23371647509578541</v>
      </c>
      <c r="M582" s="2">
        <v>41791</v>
      </c>
      <c r="N582">
        <v>6</v>
      </c>
      <c r="O582" t="s">
        <v>12</v>
      </c>
      <c r="P582">
        <v>2014</v>
      </c>
    </row>
    <row r="583" spans="1:16" x14ac:dyDescent="0.25">
      <c r="A583" t="s">
        <v>23</v>
      </c>
      <c r="B583" t="s">
        <v>3</v>
      </c>
      <c r="C583" t="s">
        <v>2</v>
      </c>
      <c r="D583" t="s">
        <v>1</v>
      </c>
      <c r="E583">
        <v>250</v>
      </c>
      <c r="F583">
        <v>15</v>
      </c>
      <c r="G583">
        <v>38505</v>
      </c>
      <c r="H583">
        <v>5005.6499999999996</v>
      </c>
      <c r="I583" s="1">
        <v>33499.35</v>
      </c>
      <c r="J583">
        <v>25670</v>
      </c>
      <c r="K583" s="1">
        <v>7829.3499999999985</v>
      </c>
      <c r="L583" s="3">
        <f>(K583/I583)</f>
        <v>0.23371647509578541</v>
      </c>
      <c r="M583" s="2">
        <v>41791</v>
      </c>
      <c r="N583">
        <v>6</v>
      </c>
      <c r="O583" t="s">
        <v>9</v>
      </c>
      <c r="P583">
        <v>2014</v>
      </c>
    </row>
    <row r="584" spans="1:16" x14ac:dyDescent="0.25">
      <c r="A584" t="s">
        <v>8</v>
      </c>
      <c r="B584" t="s">
        <v>7</v>
      </c>
      <c r="C584" t="s">
        <v>28</v>
      </c>
      <c r="D584" t="s">
        <v>1</v>
      </c>
      <c r="E584">
        <v>3</v>
      </c>
      <c r="F584">
        <v>350</v>
      </c>
      <c r="G584">
        <v>323050</v>
      </c>
      <c r="H584">
        <v>41996.5</v>
      </c>
      <c r="I584" s="1">
        <v>281053.5</v>
      </c>
      <c r="J584">
        <v>239980</v>
      </c>
      <c r="K584" s="1">
        <v>41073.5</v>
      </c>
      <c r="L584" s="3">
        <f>(K584/I584)</f>
        <v>0.14614121510673234</v>
      </c>
      <c r="M584" s="2">
        <v>41699</v>
      </c>
      <c r="N584">
        <v>3</v>
      </c>
      <c r="O584" t="s">
        <v>5</v>
      </c>
      <c r="P584">
        <v>2014</v>
      </c>
    </row>
    <row r="585" spans="1:16" x14ac:dyDescent="0.25">
      <c r="A585" t="s">
        <v>8</v>
      </c>
      <c r="B585" t="s">
        <v>16</v>
      </c>
      <c r="C585" t="s">
        <v>28</v>
      </c>
      <c r="D585" t="s">
        <v>1</v>
      </c>
      <c r="E585">
        <v>3</v>
      </c>
      <c r="F585">
        <v>350</v>
      </c>
      <c r="G585">
        <v>626500</v>
      </c>
      <c r="H585">
        <v>81445</v>
      </c>
      <c r="I585" s="1">
        <v>545055</v>
      </c>
      <c r="J585">
        <v>465400</v>
      </c>
      <c r="K585" s="1">
        <v>79655</v>
      </c>
      <c r="L585" s="3">
        <f>(K585/I585)</f>
        <v>0.14614121510673234</v>
      </c>
      <c r="M585" s="2">
        <v>41699</v>
      </c>
      <c r="N585">
        <v>3</v>
      </c>
      <c r="O585" t="s">
        <v>0</v>
      </c>
      <c r="P585">
        <v>2014</v>
      </c>
    </row>
    <row r="586" spans="1:16" x14ac:dyDescent="0.25">
      <c r="A586" t="s">
        <v>8</v>
      </c>
      <c r="B586" t="s">
        <v>19</v>
      </c>
      <c r="C586" t="s">
        <v>28</v>
      </c>
      <c r="D586" t="s">
        <v>1</v>
      </c>
      <c r="E586">
        <v>3</v>
      </c>
      <c r="F586">
        <v>20</v>
      </c>
      <c r="G586">
        <v>8840</v>
      </c>
      <c r="H586">
        <v>1149.2</v>
      </c>
      <c r="I586" s="1">
        <v>7690.8</v>
      </c>
      <c r="J586">
        <v>4420</v>
      </c>
      <c r="K586" s="1">
        <v>3270.8</v>
      </c>
      <c r="L586" s="3">
        <f>(K586/I586)</f>
        <v>0.42528735632183912</v>
      </c>
      <c r="M586" s="2">
        <v>41518</v>
      </c>
      <c r="N586">
        <v>9</v>
      </c>
      <c r="O586" t="s">
        <v>26</v>
      </c>
      <c r="P586">
        <v>2013</v>
      </c>
    </row>
    <row r="587" spans="1:16" x14ac:dyDescent="0.25">
      <c r="A587" t="s">
        <v>8</v>
      </c>
      <c r="B587" t="s">
        <v>3</v>
      </c>
      <c r="C587" t="s">
        <v>10</v>
      </c>
      <c r="D587" t="s">
        <v>1</v>
      </c>
      <c r="E587">
        <v>5</v>
      </c>
      <c r="F587">
        <v>350</v>
      </c>
      <c r="G587">
        <v>343875</v>
      </c>
      <c r="H587">
        <v>44703.75</v>
      </c>
      <c r="I587" s="1">
        <v>299171.25</v>
      </c>
      <c r="J587">
        <v>255450</v>
      </c>
      <c r="K587" s="1">
        <v>43721.25</v>
      </c>
      <c r="L587" s="3">
        <f>(K587/I587)</f>
        <v>0.14614121510673234</v>
      </c>
      <c r="M587" s="2">
        <v>41640</v>
      </c>
      <c r="N587">
        <v>1</v>
      </c>
      <c r="O587" t="s">
        <v>25</v>
      </c>
      <c r="P587">
        <v>2014</v>
      </c>
    </row>
    <row r="588" spans="1:16" x14ac:dyDescent="0.25">
      <c r="A588" t="s">
        <v>8</v>
      </c>
      <c r="B588" t="s">
        <v>3</v>
      </c>
      <c r="C588" t="s">
        <v>10</v>
      </c>
      <c r="D588" t="s">
        <v>1</v>
      </c>
      <c r="E588">
        <v>5</v>
      </c>
      <c r="F588">
        <v>7</v>
      </c>
      <c r="G588">
        <v>9086</v>
      </c>
      <c r="H588">
        <v>1181.18</v>
      </c>
      <c r="I588" s="1">
        <v>7904.82</v>
      </c>
      <c r="J588">
        <v>6490</v>
      </c>
      <c r="K588" s="1">
        <v>1414.8199999999997</v>
      </c>
      <c r="L588" s="3">
        <f>(K588/I588)</f>
        <v>0.17898193760262723</v>
      </c>
      <c r="M588" s="2">
        <v>41671</v>
      </c>
      <c r="N588">
        <v>2</v>
      </c>
      <c r="O588" t="s">
        <v>24</v>
      </c>
      <c r="P588">
        <v>2014</v>
      </c>
    </row>
    <row r="589" spans="1:16" x14ac:dyDescent="0.25">
      <c r="A589" t="s">
        <v>4</v>
      </c>
      <c r="B589" t="s">
        <v>11</v>
      </c>
      <c r="C589" t="s">
        <v>10</v>
      </c>
      <c r="D589" t="s">
        <v>1</v>
      </c>
      <c r="E589">
        <v>5</v>
      </c>
      <c r="F589">
        <v>12</v>
      </c>
      <c r="G589">
        <v>7248</v>
      </c>
      <c r="H589">
        <v>942.24</v>
      </c>
      <c r="I589" s="1">
        <v>6305.76</v>
      </c>
      <c r="J589">
        <v>1812</v>
      </c>
      <c r="K589" s="1">
        <v>4493.76</v>
      </c>
      <c r="L589" s="3">
        <f>(K589/I589)</f>
        <v>0.71264367816091956</v>
      </c>
      <c r="M589" s="2">
        <v>41791</v>
      </c>
      <c r="N589">
        <v>6</v>
      </c>
      <c r="O589" t="s">
        <v>22</v>
      </c>
      <c r="P589">
        <v>2014</v>
      </c>
    </row>
    <row r="590" spans="1:16" x14ac:dyDescent="0.25">
      <c r="A590" t="s">
        <v>8</v>
      </c>
      <c r="B590" t="s">
        <v>11</v>
      </c>
      <c r="C590" t="s">
        <v>10</v>
      </c>
      <c r="D590" t="s">
        <v>1</v>
      </c>
      <c r="E590">
        <v>5</v>
      </c>
      <c r="F590">
        <v>20</v>
      </c>
      <c r="G590">
        <v>45100</v>
      </c>
      <c r="H590">
        <v>5863</v>
      </c>
      <c r="I590" s="1">
        <v>39237</v>
      </c>
      <c r="J590">
        <v>22550</v>
      </c>
      <c r="K590" s="1">
        <v>16687</v>
      </c>
      <c r="L590" s="3">
        <f>(K590/I590)</f>
        <v>0.42528735632183906</v>
      </c>
      <c r="M590" s="2">
        <v>41821</v>
      </c>
      <c r="N590">
        <v>7</v>
      </c>
      <c r="O590" t="s">
        <v>21</v>
      </c>
      <c r="P590">
        <v>2014</v>
      </c>
    </row>
    <row r="591" spans="1:16" x14ac:dyDescent="0.25">
      <c r="A591" t="s">
        <v>8</v>
      </c>
      <c r="B591" t="s">
        <v>7</v>
      </c>
      <c r="C591" t="s">
        <v>10</v>
      </c>
      <c r="D591" t="s">
        <v>1</v>
      </c>
      <c r="E591">
        <v>5</v>
      </c>
      <c r="F591">
        <v>20</v>
      </c>
      <c r="G591">
        <v>24980</v>
      </c>
      <c r="H591">
        <v>3247.4</v>
      </c>
      <c r="I591" s="1">
        <v>21732.6</v>
      </c>
      <c r="J591">
        <v>12490</v>
      </c>
      <c r="K591" s="1">
        <v>9242.5999999999985</v>
      </c>
      <c r="L591" s="3">
        <f>(K591/I591)</f>
        <v>0.42528735632183906</v>
      </c>
      <c r="M591" s="2">
        <v>41913</v>
      </c>
      <c r="N591">
        <v>10</v>
      </c>
      <c r="O591" t="s">
        <v>18</v>
      </c>
      <c r="P591">
        <v>2014</v>
      </c>
    </row>
    <row r="592" spans="1:16" x14ac:dyDescent="0.25">
      <c r="A592" t="s">
        <v>8</v>
      </c>
      <c r="B592" t="s">
        <v>3</v>
      </c>
      <c r="C592" t="s">
        <v>6</v>
      </c>
      <c r="D592" t="s">
        <v>1</v>
      </c>
      <c r="E592">
        <v>10</v>
      </c>
      <c r="F592">
        <v>7</v>
      </c>
      <c r="G592">
        <v>10069.5</v>
      </c>
      <c r="H592">
        <v>1309.0350000000001</v>
      </c>
      <c r="I592" s="1">
        <v>8760.4650000000001</v>
      </c>
      <c r="J592">
        <v>7192.5</v>
      </c>
      <c r="K592" s="1">
        <v>1567.9649999999992</v>
      </c>
      <c r="L592" s="3">
        <f>(K592/I592)</f>
        <v>0.17898193760262718</v>
      </c>
      <c r="M592" s="2">
        <v>41640</v>
      </c>
      <c r="N592">
        <v>1</v>
      </c>
      <c r="O592" t="s">
        <v>17</v>
      </c>
      <c r="P592">
        <v>2014</v>
      </c>
    </row>
    <row r="593" spans="1:16" x14ac:dyDescent="0.25">
      <c r="A593" t="s">
        <v>14</v>
      </c>
      <c r="B593" t="s">
        <v>19</v>
      </c>
      <c r="C593" t="s">
        <v>6</v>
      </c>
      <c r="D593" t="s">
        <v>1</v>
      </c>
      <c r="E593">
        <v>10</v>
      </c>
      <c r="F593">
        <v>300</v>
      </c>
      <c r="G593">
        <v>242100</v>
      </c>
      <c r="H593">
        <v>31473</v>
      </c>
      <c r="I593" s="1">
        <v>210627</v>
      </c>
      <c r="J593">
        <v>201750</v>
      </c>
      <c r="K593" s="1">
        <v>8877</v>
      </c>
      <c r="L593" s="3">
        <f>(K593/I593)</f>
        <v>4.2145593869731802E-2</v>
      </c>
      <c r="M593" s="2">
        <v>41640</v>
      </c>
      <c r="N593">
        <v>1</v>
      </c>
      <c r="O593" t="s">
        <v>15</v>
      </c>
      <c r="P593">
        <v>2014</v>
      </c>
    </row>
    <row r="594" spans="1:16" x14ac:dyDescent="0.25">
      <c r="A594" t="s">
        <v>8</v>
      </c>
      <c r="B594" t="s">
        <v>3</v>
      </c>
      <c r="C594" t="s">
        <v>6</v>
      </c>
      <c r="D594" t="s">
        <v>1</v>
      </c>
      <c r="E594">
        <v>10</v>
      </c>
      <c r="F594">
        <v>20</v>
      </c>
      <c r="G594">
        <v>52820</v>
      </c>
      <c r="H594">
        <v>6866.6</v>
      </c>
      <c r="I594" s="1">
        <v>45953.4</v>
      </c>
      <c r="J594">
        <v>26410</v>
      </c>
      <c r="K594" s="1">
        <v>19543.400000000001</v>
      </c>
      <c r="L594" s="3">
        <f>(K594/I594)</f>
        <v>0.42528735632183912</v>
      </c>
      <c r="M594" s="2">
        <v>41671</v>
      </c>
      <c r="N594">
        <v>2</v>
      </c>
      <c r="O594" t="s">
        <v>12</v>
      </c>
      <c r="P594">
        <v>2014</v>
      </c>
    </row>
    <row r="595" spans="1:16" x14ac:dyDescent="0.25">
      <c r="A595" t="s">
        <v>8</v>
      </c>
      <c r="B595" t="s">
        <v>19</v>
      </c>
      <c r="C595" t="s">
        <v>6</v>
      </c>
      <c r="D595" t="s">
        <v>1</v>
      </c>
      <c r="E595">
        <v>10</v>
      </c>
      <c r="F595">
        <v>20</v>
      </c>
      <c r="G595">
        <v>54160</v>
      </c>
      <c r="H595">
        <v>7040.8</v>
      </c>
      <c r="I595" s="1">
        <v>47119.199999999997</v>
      </c>
      <c r="J595">
        <v>27080</v>
      </c>
      <c r="K595" s="1">
        <v>20039.199999999997</v>
      </c>
      <c r="L595" s="3">
        <f>(K595/I595)</f>
        <v>0.42528735632183906</v>
      </c>
      <c r="M595" s="2">
        <v>41671</v>
      </c>
      <c r="N595">
        <v>2</v>
      </c>
      <c r="O595" t="s">
        <v>9</v>
      </c>
      <c r="P595">
        <v>2014</v>
      </c>
    </row>
    <row r="596" spans="1:16" x14ac:dyDescent="0.25">
      <c r="A596" t="s">
        <v>8</v>
      </c>
      <c r="B596" t="s">
        <v>7</v>
      </c>
      <c r="C596" t="s">
        <v>6</v>
      </c>
      <c r="D596" t="s">
        <v>1</v>
      </c>
      <c r="E596">
        <v>10</v>
      </c>
      <c r="F596">
        <v>350</v>
      </c>
      <c r="G596">
        <v>921200</v>
      </c>
      <c r="H596">
        <v>119756</v>
      </c>
      <c r="I596" s="1">
        <v>801444</v>
      </c>
      <c r="J596">
        <v>684320</v>
      </c>
      <c r="K596" s="1">
        <v>117124</v>
      </c>
      <c r="L596" s="3">
        <f>(K596/I596)</f>
        <v>0.14614121510673234</v>
      </c>
      <c r="M596" s="2">
        <v>41791</v>
      </c>
      <c r="N596">
        <v>6</v>
      </c>
      <c r="O596" t="s">
        <v>5</v>
      </c>
      <c r="P596">
        <v>2014</v>
      </c>
    </row>
    <row r="597" spans="1:16" x14ac:dyDescent="0.25">
      <c r="A597" t="s">
        <v>20</v>
      </c>
      <c r="B597" t="s">
        <v>7</v>
      </c>
      <c r="C597" t="s">
        <v>6</v>
      </c>
      <c r="D597" t="s">
        <v>1</v>
      </c>
      <c r="E597">
        <v>10</v>
      </c>
      <c r="F597">
        <v>125</v>
      </c>
      <c r="G597">
        <v>197875</v>
      </c>
      <c r="H597">
        <v>25723.75</v>
      </c>
      <c r="I597" s="1">
        <v>172151.25</v>
      </c>
      <c r="J597">
        <v>189960</v>
      </c>
      <c r="K597" s="1">
        <v>-17808.75</v>
      </c>
      <c r="L597" s="3">
        <f>(K597/I597)</f>
        <v>-0.10344827586206896</v>
      </c>
      <c r="M597" s="2">
        <v>41791</v>
      </c>
      <c r="N597">
        <v>6</v>
      </c>
      <c r="O597" t="s">
        <v>0</v>
      </c>
      <c r="P597">
        <v>2014</v>
      </c>
    </row>
    <row r="598" spans="1:16" x14ac:dyDescent="0.25">
      <c r="A598" t="s">
        <v>4</v>
      </c>
      <c r="B598" t="s">
        <v>11</v>
      </c>
      <c r="C598" t="s">
        <v>6</v>
      </c>
      <c r="D598" t="s">
        <v>1</v>
      </c>
      <c r="E598">
        <v>10</v>
      </c>
      <c r="F598">
        <v>12</v>
      </c>
      <c r="G598">
        <v>6852</v>
      </c>
      <c r="H598">
        <v>890.76</v>
      </c>
      <c r="I598" s="1">
        <v>5961.24</v>
      </c>
      <c r="J598">
        <v>1713</v>
      </c>
      <c r="K598" s="1">
        <v>4248.24</v>
      </c>
      <c r="L598" s="3">
        <f>(K598/I598)</f>
        <v>0.71264367816091956</v>
      </c>
      <c r="M598" s="2">
        <v>41821</v>
      </c>
      <c r="N598">
        <v>7</v>
      </c>
      <c r="O598" t="s">
        <v>26</v>
      </c>
      <c r="P598">
        <v>2014</v>
      </c>
    </row>
    <row r="599" spans="1:16" x14ac:dyDescent="0.25">
      <c r="A599" t="s">
        <v>8</v>
      </c>
      <c r="B599" t="s">
        <v>16</v>
      </c>
      <c r="C599" t="s">
        <v>6</v>
      </c>
      <c r="D599" t="s">
        <v>1</v>
      </c>
      <c r="E599">
        <v>10</v>
      </c>
      <c r="F599">
        <v>7</v>
      </c>
      <c r="G599">
        <v>18872</v>
      </c>
      <c r="H599">
        <v>2453.36</v>
      </c>
      <c r="I599" s="1">
        <v>16418.64</v>
      </c>
      <c r="J599">
        <v>13480</v>
      </c>
      <c r="K599" s="1">
        <v>2938.6399999999994</v>
      </c>
      <c r="L599" s="3">
        <f>(K599/I599)</f>
        <v>0.17898193760262723</v>
      </c>
      <c r="M599" s="2">
        <v>41852</v>
      </c>
      <c r="N599">
        <v>8</v>
      </c>
      <c r="O599" t="s">
        <v>25</v>
      </c>
      <c r="P599">
        <v>2014</v>
      </c>
    </row>
    <row r="600" spans="1:16" x14ac:dyDescent="0.25">
      <c r="A600" t="s">
        <v>23</v>
      </c>
      <c r="B600" t="s">
        <v>7</v>
      </c>
      <c r="C600" t="s">
        <v>6</v>
      </c>
      <c r="D600" t="s">
        <v>1</v>
      </c>
      <c r="E600">
        <v>10</v>
      </c>
      <c r="F600">
        <v>15</v>
      </c>
      <c r="G600">
        <v>23475</v>
      </c>
      <c r="H600">
        <v>3051.75</v>
      </c>
      <c r="I600" s="1">
        <v>20423.25</v>
      </c>
      <c r="J600">
        <v>15650</v>
      </c>
      <c r="K600" s="1">
        <v>4773.25</v>
      </c>
      <c r="L600" s="3">
        <f>(K600/I600)</f>
        <v>0.23371647509578544</v>
      </c>
      <c r="M600" s="2">
        <v>41913</v>
      </c>
      <c r="N600">
        <v>10</v>
      </c>
      <c r="O600" t="s">
        <v>24</v>
      </c>
      <c r="P600">
        <v>2014</v>
      </c>
    </row>
    <row r="601" spans="1:16" x14ac:dyDescent="0.25">
      <c r="A601" t="s">
        <v>8</v>
      </c>
      <c r="B601" t="s">
        <v>7</v>
      </c>
      <c r="C601" t="s">
        <v>6</v>
      </c>
      <c r="D601" t="s">
        <v>1</v>
      </c>
      <c r="E601">
        <v>10</v>
      </c>
      <c r="F601">
        <v>20</v>
      </c>
      <c r="G601">
        <v>24980</v>
      </c>
      <c r="H601">
        <v>3247.4</v>
      </c>
      <c r="I601" s="1">
        <v>21732.6</v>
      </c>
      <c r="J601">
        <v>12490</v>
      </c>
      <c r="K601" s="1">
        <v>9242.5999999999985</v>
      </c>
      <c r="L601" s="3">
        <f>(K601/I601)</f>
        <v>0.42528735632183906</v>
      </c>
      <c r="M601" s="2">
        <v>41913</v>
      </c>
      <c r="N601">
        <v>10</v>
      </c>
      <c r="O601" t="s">
        <v>22</v>
      </c>
      <c r="P601">
        <v>2014</v>
      </c>
    </row>
    <row r="602" spans="1:16" x14ac:dyDescent="0.25">
      <c r="A602" t="s">
        <v>8</v>
      </c>
      <c r="B602" t="s">
        <v>19</v>
      </c>
      <c r="C602" t="s">
        <v>6</v>
      </c>
      <c r="D602" t="s">
        <v>1</v>
      </c>
      <c r="E602">
        <v>10</v>
      </c>
      <c r="F602">
        <v>350</v>
      </c>
      <c r="G602">
        <v>124950</v>
      </c>
      <c r="H602">
        <v>16243.5</v>
      </c>
      <c r="I602" s="1">
        <v>108706.5</v>
      </c>
      <c r="J602">
        <v>92820</v>
      </c>
      <c r="K602" s="1">
        <v>15886.5</v>
      </c>
      <c r="L602" s="3">
        <f>(K602/I602)</f>
        <v>0.14614121510673234</v>
      </c>
      <c r="M602" s="2">
        <v>41944</v>
      </c>
      <c r="N602">
        <v>11</v>
      </c>
      <c r="O602" t="s">
        <v>21</v>
      </c>
      <c r="P602">
        <v>2014</v>
      </c>
    </row>
    <row r="603" spans="1:16" x14ac:dyDescent="0.25">
      <c r="A603" t="s">
        <v>4</v>
      </c>
      <c r="B603" t="s">
        <v>19</v>
      </c>
      <c r="C603" t="s">
        <v>6</v>
      </c>
      <c r="D603" t="s">
        <v>1</v>
      </c>
      <c r="E603">
        <v>10</v>
      </c>
      <c r="F603">
        <v>12</v>
      </c>
      <c r="G603">
        <v>12156</v>
      </c>
      <c r="H603">
        <v>1580.28</v>
      </c>
      <c r="I603" s="1">
        <v>10575.72</v>
      </c>
      <c r="J603">
        <v>3039</v>
      </c>
      <c r="K603" s="1">
        <v>7536.7199999999993</v>
      </c>
      <c r="L603" s="3">
        <f>(K603/I603)</f>
        <v>0.71264367816091956</v>
      </c>
      <c r="M603" s="2">
        <v>41974</v>
      </c>
      <c r="N603">
        <v>12</v>
      </c>
      <c r="O603" t="s">
        <v>18</v>
      </c>
      <c r="P603">
        <v>2014</v>
      </c>
    </row>
    <row r="604" spans="1:16" x14ac:dyDescent="0.25">
      <c r="A604" t="s">
        <v>23</v>
      </c>
      <c r="B604" t="s">
        <v>16</v>
      </c>
      <c r="C604" t="s">
        <v>27</v>
      </c>
      <c r="D604" t="s">
        <v>1</v>
      </c>
      <c r="E604">
        <v>120</v>
      </c>
      <c r="F604">
        <v>15</v>
      </c>
      <c r="G604">
        <v>59962.5</v>
      </c>
      <c r="H604">
        <v>7795.125</v>
      </c>
      <c r="I604" s="1">
        <v>52167.375</v>
      </c>
      <c r="J604">
        <v>39975</v>
      </c>
      <c r="K604" s="1">
        <v>12192.375</v>
      </c>
      <c r="L604" s="3">
        <f>(K604/I604)</f>
        <v>0.23371647509578544</v>
      </c>
      <c r="M604" s="2">
        <v>41640</v>
      </c>
      <c r="N604">
        <v>1</v>
      </c>
      <c r="O604" t="s">
        <v>17</v>
      </c>
      <c r="P604">
        <v>2014</v>
      </c>
    </row>
    <row r="605" spans="1:16" x14ac:dyDescent="0.25">
      <c r="A605" t="s">
        <v>8</v>
      </c>
      <c r="B605" t="s">
        <v>7</v>
      </c>
      <c r="C605" t="s">
        <v>27</v>
      </c>
      <c r="D605" t="s">
        <v>1</v>
      </c>
      <c r="E605">
        <v>120</v>
      </c>
      <c r="F605">
        <v>350</v>
      </c>
      <c r="G605">
        <v>921200</v>
      </c>
      <c r="H605">
        <v>119756</v>
      </c>
      <c r="I605" s="1">
        <v>801444</v>
      </c>
      <c r="J605">
        <v>684320</v>
      </c>
      <c r="K605" s="1">
        <v>117124</v>
      </c>
      <c r="L605" s="3">
        <f>(K605/I605)</f>
        <v>0.14614121510673234</v>
      </c>
      <c r="M605" s="2">
        <v>41791</v>
      </c>
      <c r="N605">
        <v>6</v>
      </c>
      <c r="O605" t="s">
        <v>15</v>
      </c>
      <c r="P605">
        <v>2014</v>
      </c>
    </row>
    <row r="606" spans="1:16" x14ac:dyDescent="0.25">
      <c r="A606" t="s">
        <v>8</v>
      </c>
      <c r="B606" t="s">
        <v>16</v>
      </c>
      <c r="C606" t="s">
        <v>27</v>
      </c>
      <c r="D606" t="s">
        <v>1</v>
      </c>
      <c r="E606">
        <v>120</v>
      </c>
      <c r="F606">
        <v>7</v>
      </c>
      <c r="G606">
        <v>8330</v>
      </c>
      <c r="H606">
        <v>1082.9000000000001</v>
      </c>
      <c r="I606" s="1">
        <v>7247.1</v>
      </c>
      <c r="J606">
        <v>5950</v>
      </c>
      <c r="K606" s="1">
        <v>1297.1000000000004</v>
      </c>
      <c r="L606" s="3">
        <f>(K606/I606)</f>
        <v>0.17898193760262729</v>
      </c>
      <c r="M606" s="2">
        <v>41791</v>
      </c>
      <c r="N606">
        <v>6</v>
      </c>
      <c r="O606" t="s">
        <v>12</v>
      </c>
      <c r="P606">
        <v>2014</v>
      </c>
    </row>
    <row r="607" spans="1:16" x14ac:dyDescent="0.25">
      <c r="A607" t="s">
        <v>4</v>
      </c>
      <c r="B607" t="s">
        <v>11</v>
      </c>
      <c r="C607" t="s">
        <v>27</v>
      </c>
      <c r="D607" t="s">
        <v>1</v>
      </c>
      <c r="E607">
        <v>120</v>
      </c>
      <c r="F607">
        <v>12</v>
      </c>
      <c r="G607">
        <v>7248</v>
      </c>
      <c r="H607">
        <v>942.24</v>
      </c>
      <c r="I607" s="1">
        <v>6305.76</v>
      </c>
      <c r="J607">
        <v>1812</v>
      </c>
      <c r="K607" s="1">
        <v>4493.76</v>
      </c>
      <c r="L607" s="3">
        <f>(K607/I607)</f>
        <v>0.71264367816091956</v>
      </c>
      <c r="M607" s="2">
        <v>41791</v>
      </c>
      <c r="N607">
        <v>6</v>
      </c>
      <c r="O607" t="s">
        <v>9</v>
      </c>
      <c r="P607">
        <v>2014</v>
      </c>
    </row>
    <row r="608" spans="1:16" x14ac:dyDescent="0.25">
      <c r="A608" t="s">
        <v>23</v>
      </c>
      <c r="B608" t="s">
        <v>19</v>
      </c>
      <c r="C608" t="s">
        <v>27</v>
      </c>
      <c r="D608" t="s">
        <v>1</v>
      </c>
      <c r="E608">
        <v>120</v>
      </c>
      <c r="F608">
        <v>15</v>
      </c>
      <c r="G608">
        <v>9900</v>
      </c>
      <c r="H608">
        <v>1287</v>
      </c>
      <c r="I608" s="1">
        <v>8613</v>
      </c>
      <c r="J608">
        <v>6600</v>
      </c>
      <c r="K608" s="1">
        <v>2013</v>
      </c>
      <c r="L608" s="3">
        <f>(K608/I608)</f>
        <v>0.23371647509578544</v>
      </c>
      <c r="M608" s="2">
        <v>41518</v>
      </c>
      <c r="N608">
        <v>9</v>
      </c>
      <c r="O608" t="s">
        <v>5</v>
      </c>
      <c r="P608">
        <v>2013</v>
      </c>
    </row>
    <row r="609" spans="1:16" x14ac:dyDescent="0.25">
      <c r="A609" t="s">
        <v>4</v>
      </c>
      <c r="B609" t="s">
        <v>11</v>
      </c>
      <c r="C609" t="s">
        <v>27</v>
      </c>
      <c r="D609" t="s">
        <v>1</v>
      </c>
      <c r="E609">
        <v>120</v>
      </c>
      <c r="F609">
        <v>12</v>
      </c>
      <c r="G609">
        <v>4920</v>
      </c>
      <c r="H609">
        <v>639.6</v>
      </c>
      <c r="I609" s="1">
        <v>4280.3999999999996</v>
      </c>
      <c r="J609">
        <v>1230</v>
      </c>
      <c r="K609" s="1">
        <v>3050.3999999999996</v>
      </c>
      <c r="L609" s="3">
        <f>(K609/I609)</f>
        <v>0.71264367816091956</v>
      </c>
      <c r="M609" s="2">
        <v>41913</v>
      </c>
      <c r="N609">
        <v>10</v>
      </c>
      <c r="O609" t="s">
        <v>0</v>
      </c>
      <c r="P609">
        <v>2014</v>
      </c>
    </row>
    <row r="610" spans="1:16" x14ac:dyDescent="0.25">
      <c r="A610" t="s">
        <v>14</v>
      </c>
      <c r="B610" t="s">
        <v>11</v>
      </c>
      <c r="C610" t="s">
        <v>27</v>
      </c>
      <c r="D610" t="s">
        <v>1</v>
      </c>
      <c r="E610">
        <v>120</v>
      </c>
      <c r="F610">
        <v>300</v>
      </c>
      <c r="G610">
        <v>781500</v>
      </c>
      <c r="H610">
        <v>101595</v>
      </c>
      <c r="I610" s="1">
        <v>679905</v>
      </c>
      <c r="J610">
        <v>651250</v>
      </c>
      <c r="K610" s="1">
        <v>28655</v>
      </c>
      <c r="L610" s="3">
        <f>(K610/I610)</f>
        <v>4.2145593869731802E-2</v>
      </c>
      <c r="M610" s="2">
        <v>41579</v>
      </c>
      <c r="N610">
        <v>11</v>
      </c>
      <c r="O610" t="s">
        <v>26</v>
      </c>
      <c r="P610">
        <v>2013</v>
      </c>
    </row>
    <row r="611" spans="1:16" x14ac:dyDescent="0.25">
      <c r="A611" t="s">
        <v>4</v>
      </c>
      <c r="B611" t="s">
        <v>19</v>
      </c>
      <c r="C611" t="s">
        <v>27</v>
      </c>
      <c r="D611" t="s">
        <v>1</v>
      </c>
      <c r="E611">
        <v>120</v>
      </c>
      <c r="F611">
        <v>12</v>
      </c>
      <c r="G611">
        <v>12156</v>
      </c>
      <c r="H611">
        <v>1580.28</v>
      </c>
      <c r="I611" s="1">
        <v>10575.72</v>
      </c>
      <c r="J611">
        <v>3039</v>
      </c>
      <c r="K611" s="1">
        <v>7536.7199999999993</v>
      </c>
      <c r="L611" s="3">
        <f>(K611/I611)</f>
        <v>0.71264367816091956</v>
      </c>
      <c r="M611" s="2">
        <v>41974</v>
      </c>
      <c r="N611">
        <v>12</v>
      </c>
      <c r="O611" t="s">
        <v>25</v>
      </c>
      <c r="P611">
        <v>2014</v>
      </c>
    </row>
    <row r="612" spans="1:16" x14ac:dyDescent="0.25">
      <c r="A612" t="s">
        <v>20</v>
      </c>
      <c r="B612" t="s">
        <v>7</v>
      </c>
      <c r="C612" t="s">
        <v>2</v>
      </c>
      <c r="D612" t="s">
        <v>1</v>
      </c>
      <c r="E612">
        <v>250</v>
      </c>
      <c r="F612">
        <v>125</v>
      </c>
      <c r="G612">
        <v>197875</v>
      </c>
      <c r="H612">
        <v>25723.75</v>
      </c>
      <c r="I612" s="1">
        <v>172151.25</v>
      </c>
      <c r="J612">
        <v>189960</v>
      </c>
      <c r="K612" s="1">
        <v>-17808.75</v>
      </c>
      <c r="L612" s="3">
        <f>(K612/I612)</f>
        <v>-0.10344827586206896</v>
      </c>
      <c r="M612" s="2">
        <v>41791</v>
      </c>
      <c r="N612">
        <v>6</v>
      </c>
      <c r="O612" t="s">
        <v>24</v>
      </c>
      <c r="P612">
        <v>2014</v>
      </c>
    </row>
    <row r="613" spans="1:16" x14ac:dyDescent="0.25">
      <c r="A613" t="s">
        <v>23</v>
      </c>
      <c r="B613" t="s">
        <v>7</v>
      </c>
      <c r="C613" t="s">
        <v>2</v>
      </c>
      <c r="D613" t="s">
        <v>1</v>
      </c>
      <c r="E613">
        <v>250</v>
      </c>
      <c r="F613">
        <v>15</v>
      </c>
      <c r="G613">
        <v>23475</v>
      </c>
      <c r="H613">
        <v>3051.75</v>
      </c>
      <c r="I613" s="1">
        <v>20423.25</v>
      </c>
      <c r="J613">
        <v>15650</v>
      </c>
      <c r="K613" s="1">
        <v>4773.25</v>
      </c>
      <c r="L613" s="3">
        <f>(K613/I613)</f>
        <v>0.23371647509578544</v>
      </c>
      <c r="M613" s="2">
        <v>41913</v>
      </c>
      <c r="N613">
        <v>10</v>
      </c>
      <c r="O613" t="s">
        <v>22</v>
      </c>
      <c r="P613">
        <v>2014</v>
      </c>
    </row>
    <row r="614" spans="1:16" x14ac:dyDescent="0.25">
      <c r="A614" t="s">
        <v>20</v>
      </c>
      <c r="B614" t="s">
        <v>7</v>
      </c>
      <c r="C614" t="s">
        <v>13</v>
      </c>
      <c r="D614" t="s">
        <v>1</v>
      </c>
      <c r="E614">
        <v>260</v>
      </c>
      <c r="F614">
        <v>125</v>
      </c>
      <c r="G614">
        <v>207375</v>
      </c>
      <c r="H614">
        <v>26958.75</v>
      </c>
      <c r="I614" s="1">
        <v>180416.25</v>
      </c>
      <c r="J614">
        <v>199080</v>
      </c>
      <c r="K614" s="1">
        <v>-18663.75</v>
      </c>
      <c r="L614" s="3">
        <f>(K614/I614)</f>
        <v>-0.10344827586206896</v>
      </c>
      <c r="M614" s="2">
        <v>41640</v>
      </c>
      <c r="N614">
        <v>1</v>
      </c>
      <c r="O614" t="s">
        <v>21</v>
      </c>
      <c r="P614">
        <v>2014</v>
      </c>
    </row>
    <row r="615" spans="1:16" x14ac:dyDescent="0.25">
      <c r="A615" t="s">
        <v>8</v>
      </c>
      <c r="B615" t="s">
        <v>16</v>
      </c>
      <c r="C615" t="s">
        <v>13</v>
      </c>
      <c r="D615" t="s">
        <v>1</v>
      </c>
      <c r="E615">
        <v>260</v>
      </c>
      <c r="F615">
        <v>7</v>
      </c>
      <c r="G615">
        <v>8330</v>
      </c>
      <c r="H615">
        <v>1082.9000000000001</v>
      </c>
      <c r="I615" s="1">
        <v>7247.1</v>
      </c>
      <c r="J615">
        <v>5950</v>
      </c>
      <c r="K615" s="1">
        <v>1297.1000000000004</v>
      </c>
      <c r="L615" s="3">
        <f>(K615/I615)</f>
        <v>0.17898193760262729</v>
      </c>
      <c r="M615" s="2">
        <v>41791</v>
      </c>
      <c r="N615">
        <v>6</v>
      </c>
      <c r="O615" t="s">
        <v>18</v>
      </c>
      <c r="P615">
        <v>2014</v>
      </c>
    </row>
    <row r="616" spans="1:16" x14ac:dyDescent="0.25">
      <c r="A616" t="s">
        <v>4</v>
      </c>
      <c r="B616" t="s">
        <v>11</v>
      </c>
      <c r="C616" t="s">
        <v>13</v>
      </c>
      <c r="D616" t="s">
        <v>1</v>
      </c>
      <c r="E616">
        <v>260</v>
      </c>
      <c r="F616">
        <v>12</v>
      </c>
      <c r="G616">
        <v>4920</v>
      </c>
      <c r="H616">
        <v>639.6</v>
      </c>
      <c r="I616" s="1">
        <v>4280.3999999999996</v>
      </c>
      <c r="J616">
        <v>1230</v>
      </c>
      <c r="K616" s="1">
        <v>3050.3999999999996</v>
      </c>
      <c r="L616" s="3">
        <f>(K616/I616)</f>
        <v>0.71264367816091956</v>
      </c>
      <c r="M616" s="2">
        <v>41913</v>
      </c>
      <c r="N616">
        <v>10</v>
      </c>
      <c r="O616" t="s">
        <v>17</v>
      </c>
      <c r="P616">
        <v>2014</v>
      </c>
    </row>
    <row r="617" spans="1:16" x14ac:dyDescent="0.25">
      <c r="A617" t="s">
        <v>4</v>
      </c>
      <c r="B617" t="s">
        <v>19</v>
      </c>
      <c r="C617" t="s">
        <v>13</v>
      </c>
      <c r="D617" t="s">
        <v>1</v>
      </c>
      <c r="E617">
        <v>260</v>
      </c>
      <c r="F617">
        <v>12</v>
      </c>
      <c r="G617">
        <v>21240</v>
      </c>
      <c r="H617">
        <v>2761.2</v>
      </c>
      <c r="I617" s="1">
        <v>18478.8</v>
      </c>
      <c r="J617">
        <v>5310</v>
      </c>
      <c r="K617" s="1">
        <v>13168.8</v>
      </c>
      <c r="L617" s="3">
        <f>(K617/I617)</f>
        <v>0.71264367816091956</v>
      </c>
      <c r="M617" s="2">
        <v>41609</v>
      </c>
      <c r="N617">
        <v>12</v>
      </c>
      <c r="O617" t="s">
        <v>15</v>
      </c>
      <c r="P617">
        <v>2013</v>
      </c>
    </row>
    <row r="618" spans="1:16" x14ac:dyDescent="0.25">
      <c r="A618" t="s">
        <v>8</v>
      </c>
      <c r="B618" t="s">
        <v>11</v>
      </c>
      <c r="C618" t="s">
        <v>28</v>
      </c>
      <c r="D618" t="s">
        <v>1</v>
      </c>
      <c r="E618">
        <v>3</v>
      </c>
      <c r="F618">
        <v>20</v>
      </c>
      <c r="G618">
        <v>51580</v>
      </c>
      <c r="H618">
        <v>7221.2</v>
      </c>
      <c r="I618" s="1">
        <v>44358.8</v>
      </c>
      <c r="J618">
        <v>25790</v>
      </c>
      <c r="K618" s="1">
        <v>18568.800000000003</v>
      </c>
      <c r="L618" s="3">
        <f>(K618/I618)</f>
        <v>0.41860465116279072</v>
      </c>
      <c r="M618" s="2">
        <v>41730</v>
      </c>
      <c r="N618">
        <v>4</v>
      </c>
      <c r="O618" t="s">
        <v>12</v>
      </c>
      <c r="P618">
        <v>2014</v>
      </c>
    </row>
    <row r="619" spans="1:16" x14ac:dyDescent="0.25">
      <c r="A619" t="s">
        <v>8</v>
      </c>
      <c r="B619" t="s">
        <v>3</v>
      </c>
      <c r="C619" t="s">
        <v>28</v>
      </c>
      <c r="D619" t="s">
        <v>1</v>
      </c>
      <c r="E619">
        <v>3</v>
      </c>
      <c r="F619">
        <v>20</v>
      </c>
      <c r="G619">
        <v>34860</v>
      </c>
      <c r="H619">
        <v>4880.3999999999996</v>
      </c>
      <c r="I619" s="1">
        <v>29979.599999999999</v>
      </c>
      <c r="J619">
        <v>17430</v>
      </c>
      <c r="K619" s="1">
        <v>12549.599999999999</v>
      </c>
      <c r="L619" s="3">
        <f>(K619/I619)</f>
        <v>0.41860465116279066</v>
      </c>
      <c r="M619" s="2">
        <v>41760</v>
      </c>
      <c r="N619">
        <v>5</v>
      </c>
      <c r="O619" t="s">
        <v>9</v>
      </c>
      <c r="P619">
        <v>2014</v>
      </c>
    </row>
    <row r="620" spans="1:16" x14ac:dyDescent="0.25">
      <c r="A620" t="s">
        <v>8</v>
      </c>
      <c r="B620" t="s">
        <v>3</v>
      </c>
      <c r="C620" t="s">
        <v>28</v>
      </c>
      <c r="D620" t="s">
        <v>1</v>
      </c>
      <c r="E620">
        <v>3</v>
      </c>
      <c r="F620">
        <v>7</v>
      </c>
      <c r="G620">
        <v>20972</v>
      </c>
      <c r="H620">
        <v>2936.08</v>
      </c>
      <c r="I620" s="1">
        <v>18035.919999999998</v>
      </c>
      <c r="J620">
        <v>14980</v>
      </c>
      <c r="K620" s="1">
        <v>3055.9199999999983</v>
      </c>
      <c r="L620" s="3">
        <f>(K620/I620)</f>
        <v>0.16943521594684377</v>
      </c>
      <c r="M620" s="2">
        <v>41548</v>
      </c>
      <c r="N620">
        <v>10</v>
      </c>
      <c r="O620" t="s">
        <v>5</v>
      </c>
      <c r="P620">
        <v>2013</v>
      </c>
    </row>
    <row r="621" spans="1:16" x14ac:dyDescent="0.25">
      <c r="A621" t="s">
        <v>8</v>
      </c>
      <c r="B621" t="s">
        <v>19</v>
      </c>
      <c r="C621" t="s">
        <v>28</v>
      </c>
      <c r="D621" t="s">
        <v>1</v>
      </c>
      <c r="E621">
        <v>3</v>
      </c>
      <c r="F621">
        <v>7</v>
      </c>
      <c r="G621">
        <v>1960</v>
      </c>
      <c r="H621">
        <v>274.39999999999998</v>
      </c>
      <c r="I621" s="1">
        <v>1685.6</v>
      </c>
      <c r="J621">
        <v>1400</v>
      </c>
      <c r="K621" s="1">
        <v>285.59999999999991</v>
      </c>
      <c r="L621" s="3">
        <f>(K621/I621)</f>
        <v>0.1694352159468438</v>
      </c>
      <c r="M621" s="2">
        <v>41974</v>
      </c>
      <c r="N621">
        <v>12</v>
      </c>
      <c r="O621" t="s">
        <v>0</v>
      </c>
      <c r="P621">
        <v>2014</v>
      </c>
    </row>
    <row r="622" spans="1:16" x14ac:dyDescent="0.25">
      <c r="A622" t="s">
        <v>8</v>
      </c>
      <c r="B622" t="s">
        <v>16</v>
      </c>
      <c r="C622" t="s">
        <v>10</v>
      </c>
      <c r="D622" t="s">
        <v>1</v>
      </c>
      <c r="E622">
        <v>5</v>
      </c>
      <c r="F622">
        <v>7</v>
      </c>
      <c r="G622">
        <v>2051</v>
      </c>
      <c r="H622">
        <v>287.14</v>
      </c>
      <c r="I622" s="1">
        <v>1763.8600000000001</v>
      </c>
      <c r="J622">
        <v>1465</v>
      </c>
      <c r="K622" s="1">
        <v>298.86000000000013</v>
      </c>
      <c r="L622" s="3">
        <f>(K622/I622)</f>
        <v>0.16943521594684391</v>
      </c>
      <c r="M622" s="2">
        <v>41671</v>
      </c>
      <c r="N622">
        <v>2</v>
      </c>
      <c r="O622" t="s">
        <v>26</v>
      </c>
      <c r="P622">
        <v>2014</v>
      </c>
    </row>
    <row r="623" spans="1:16" x14ac:dyDescent="0.25">
      <c r="A623" t="s">
        <v>8</v>
      </c>
      <c r="B623" t="s">
        <v>3</v>
      </c>
      <c r="C623" t="s">
        <v>10</v>
      </c>
      <c r="D623" t="s">
        <v>1</v>
      </c>
      <c r="E623">
        <v>5</v>
      </c>
      <c r="F623">
        <v>7</v>
      </c>
      <c r="G623">
        <v>20972</v>
      </c>
      <c r="H623">
        <v>2936.08</v>
      </c>
      <c r="I623" s="1">
        <v>18035.919999999998</v>
      </c>
      <c r="J623">
        <v>14980</v>
      </c>
      <c r="K623" s="1">
        <v>3055.9199999999983</v>
      </c>
      <c r="L623" s="3">
        <f>(K623/I623)</f>
        <v>0.16943521594684377</v>
      </c>
      <c r="M623" s="2">
        <v>41548</v>
      </c>
      <c r="N623">
        <v>10</v>
      </c>
      <c r="O623" t="s">
        <v>25</v>
      </c>
      <c r="P623">
        <v>2013</v>
      </c>
    </row>
    <row r="624" spans="1:16" x14ac:dyDescent="0.25">
      <c r="A624" t="s">
        <v>23</v>
      </c>
      <c r="B624" t="s">
        <v>19</v>
      </c>
      <c r="C624" t="s">
        <v>6</v>
      </c>
      <c r="D624" t="s">
        <v>1</v>
      </c>
      <c r="E624">
        <v>10</v>
      </c>
      <c r="F624">
        <v>15</v>
      </c>
      <c r="G624">
        <v>4170</v>
      </c>
      <c r="H624">
        <v>583.79999999999995</v>
      </c>
      <c r="I624" s="1">
        <v>3586.2</v>
      </c>
      <c r="J624">
        <v>2780</v>
      </c>
      <c r="K624" s="1">
        <v>806.19999999999982</v>
      </c>
      <c r="L624" s="3">
        <f>(K624/I624)</f>
        <v>0.22480620155038755</v>
      </c>
      <c r="M624" s="2">
        <v>41671</v>
      </c>
      <c r="N624">
        <v>2</v>
      </c>
      <c r="O624" t="s">
        <v>24</v>
      </c>
      <c r="P624">
        <v>2014</v>
      </c>
    </row>
    <row r="625" spans="1:16" x14ac:dyDescent="0.25">
      <c r="A625" t="s">
        <v>8</v>
      </c>
      <c r="B625" t="s">
        <v>7</v>
      </c>
      <c r="C625" t="s">
        <v>6</v>
      </c>
      <c r="D625" t="s">
        <v>1</v>
      </c>
      <c r="E625">
        <v>10</v>
      </c>
      <c r="F625">
        <v>20</v>
      </c>
      <c r="G625">
        <v>48560</v>
      </c>
      <c r="H625">
        <v>6798.4</v>
      </c>
      <c r="I625" s="1">
        <v>41761.599999999999</v>
      </c>
      <c r="J625">
        <v>24280</v>
      </c>
      <c r="K625" s="1">
        <v>17481.599999999999</v>
      </c>
      <c r="L625" s="3">
        <f>(K625/I625)</f>
        <v>0.41860465116279066</v>
      </c>
      <c r="M625" s="2">
        <v>41699</v>
      </c>
      <c r="N625">
        <v>3</v>
      </c>
      <c r="O625" t="s">
        <v>22</v>
      </c>
      <c r="P625">
        <v>2014</v>
      </c>
    </row>
    <row r="626" spans="1:16" x14ac:dyDescent="0.25">
      <c r="A626" t="s">
        <v>23</v>
      </c>
      <c r="B626" t="s">
        <v>3</v>
      </c>
      <c r="C626" t="s">
        <v>6</v>
      </c>
      <c r="D626" t="s">
        <v>1</v>
      </c>
      <c r="E626">
        <v>10</v>
      </c>
      <c r="F626">
        <v>15</v>
      </c>
      <c r="G626">
        <v>26505</v>
      </c>
      <c r="H626">
        <v>3710.7</v>
      </c>
      <c r="I626" s="1">
        <v>22794.3</v>
      </c>
      <c r="J626">
        <v>17670</v>
      </c>
      <c r="K626" s="1">
        <v>5124.2999999999993</v>
      </c>
      <c r="L626" s="3">
        <f>(K626/I626)</f>
        <v>0.22480620155038758</v>
      </c>
      <c r="M626" s="2">
        <v>41883</v>
      </c>
      <c r="N626">
        <v>9</v>
      </c>
      <c r="O626" t="s">
        <v>21</v>
      </c>
      <c r="P626">
        <v>2014</v>
      </c>
    </row>
    <row r="627" spans="1:16" x14ac:dyDescent="0.25">
      <c r="A627" t="s">
        <v>4</v>
      </c>
      <c r="B627" t="s">
        <v>16</v>
      </c>
      <c r="C627" t="s">
        <v>6</v>
      </c>
      <c r="D627" t="s">
        <v>1</v>
      </c>
      <c r="E627">
        <v>10</v>
      </c>
      <c r="F627">
        <v>12</v>
      </c>
      <c r="G627">
        <v>16716</v>
      </c>
      <c r="H627">
        <v>2340.2399999999998</v>
      </c>
      <c r="I627" s="1">
        <v>14375.76</v>
      </c>
      <c r="J627">
        <v>4179</v>
      </c>
      <c r="K627" s="1">
        <v>10196.76</v>
      </c>
      <c r="L627" s="3">
        <f>(K627/I627)</f>
        <v>0.70930232558139539</v>
      </c>
      <c r="M627" s="2">
        <v>41913</v>
      </c>
      <c r="N627">
        <v>10</v>
      </c>
      <c r="O627" t="s">
        <v>18</v>
      </c>
      <c r="P627">
        <v>2014</v>
      </c>
    </row>
    <row r="628" spans="1:16" x14ac:dyDescent="0.25">
      <c r="A628" t="s">
        <v>8</v>
      </c>
      <c r="B628" t="s">
        <v>19</v>
      </c>
      <c r="C628" t="s">
        <v>2</v>
      </c>
      <c r="D628" t="s">
        <v>1</v>
      </c>
      <c r="E628">
        <v>250</v>
      </c>
      <c r="F628">
        <v>7</v>
      </c>
      <c r="G628">
        <v>1960</v>
      </c>
      <c r="H628">
        <v>274.39999999999998</v>
      </c>
      <c r="I628" s="1">
        <v>1685.6</v>
      </c>
      <c r="J628">
        <v>1400</v>
      </c>
      <c r="K628" s="1">
        <v>285.59999999999991</v>
      </c>
      <c r="L628" s="3">
        <f>(K628/I628)</f>
        <v>0.1694352159468438</v>
      </c>
      <c r="M628" s="2">
        <v>41974</v>
      </c>
      <c r="N628">
        <v>12</v>
      </c>
      <c r="O628" t="s">
        <v>17</v>
      </c>
      <c r="P628">
        <v>2014</v>
      </c>
    </row>
    <row r="629" spans="1:16" x14ac:dyDescent="0.25">
      <c r="A629" t="s">
        <v>4</v>
      </c>
      <c r="B629" t="s">
        <v>16</v>
      </c>
      <c r="C629" t="s">
        <v>13</v>
      </c>
      <c r="D629" t="s">
        <v>1</v>
      </c>
      <c r="E629">
        <v>260</v>
      </c>
      <c r="F629">
        <v>12</v>
      </c>
      <c r="G629">
        <v>16716</v>
      </c>
      <c r="H629">
        <v>2340.2399999999998</v>
      </c>
      <c r="I629" s="1">
        <v>14375.76</v>
      </c>
      <c r="J629">
        <v>4179</v>
      </c>
      <c r="K629" s="1">
        <v>10196.76</v>
      </c>
      <c r="L629" s="3">
        <f>(K629/I629)</f>
        <v>0.70930232558139539</v>
      </c>
      <c r="M629" s="2">
        <v>41913</v>
      </c>
      <c r="N629">
        <v>10</v>
      </c>
      <c r="O629" t="s">
        <v>15</v>
      </c>
      <c r="P629">
        <v>2014</v>
      </c>
    </row>
    <row r="630" spans="1:16" x14ac:dyDescent="0.25">
      <c r="A630" t="s">
        <v>4</v>
      </c>
      <c r="B630" t="s">
        <v>3</v>
      </c>
      <c r="C630" t="s">
        <v>13</v>
      </c>
      <c r="D630" t="s">
        <v>1</v>
      </c>
      <c r="E630">
        <v>260</v>
      </c>
      <c r="F630">
        <v>12</v>
      </c>
      <c r="G630">
        <v>24180</v>
      </c>
      <c r="H630">
        <v>3385.2</v>
      </c>
      <c r="I630" s="1">
        <v>20794.8</v>
      </c>
      <c r="J630">
        <v>6045</v>
      </c>
      <c r="K630" s="1">
        <v>14749.8</v>
      </c>
      <c r="L630" s="3">
        <f>(K630/I630)</f>
        <v>0.70930232558139539</v>
      </c>
      <c r="M630" s="2">
        <v>41609</v>
      </c>
      <c r="N630">
        <v>12</v>
      </c>
      <c r="O630" t="s">
        <v>12</v>
      </c>
      <c r="P630">
        <v>2013</v>
      </c>
    </row>
    <row r="631" spans="1:16" x14ac:dyDescent="0.25">
      <c r="A631" t="s">
        <v>14</v>
      </c>
      <c r="B631" t="s">
        <v>11</v>
      </c>
      <c r="C631" t="s">
        <v>28</v>
      </c>
      <c r="D631" t="s">
        <v>1</v>
      </c>
      <c r="E631">
        <v>3</v>
      </c>
      <c r="F631">
        <v>300</v>
      </c>
      <c r="G631">
        <v>240300</v>
      </c>
      <c r="H631">
        <v>33642</v>
      </c>
      <c r="I631" s="1">
        <v>206658</v>
      </c>
      <c r="J631">
        <v>200250</v>
      </c>
      <c r="K631" s="1">
        <v>6408</v>
      </c>
      <c r="L631" s="3">
        <f>(K631/I631)</f>
        <v>3.1007751937984496E-2</v>
      </c>
      <c r="M631" s="2">
        <v>41821</v>
      </c>
      <c r="N631">
        <v>7</v>
      </c>
      <c r="O631" t="s">
        <v>9</v>
      </c>
      <c r="P631">
        <v>2014</v>
      </c>
    </row>
    <row r="632" spans="1:16" x14ac:dyDescent="0.25">
      <c r="A632" t="s">
        <v>20</v>
      </c>
      <c r="B632" t="s">
        <v>16</v>
      </c>
      <c r="C632" t="s">
        <v>28</v>
      </c>
      <c r="D632" t="s">
        <v>1</v>
      </c>
      <c r="E632">
        <v>3</v>
      </c>
      <c r="F632">
        <v>125</v>
      </c>
      <c r="G632">
        <v>127875</v>
      </c>
      <c r="H632">
        <v>17902.5</v>
      </c>
      <c r="I632" s="1">
        <v>109972.5</v>
      </c>
      <c r="J632">
        <v>122760</v>
      </c>
      <c r="K632" s="1">
        <v>-12787.5</v>
      </c>
      <c r="L632" s="3">
        <f>(K632/I632)</f>
        <v>-0.11627906976744186</v>
      </c>
      <c r="M632" s="2">
        <v>41518</v>
      </c>
      <c r="N632">
        <v>9</v>
      </c>
      <c r="O632" t="s">
        <v>5</v>
      </c>
      <c r="P632">
        <v>2013</v>
      </c>
    </row>
    <row r="633" spans="1:16" x14ac:dyDescent="0.25">
      <c r="A633" t="s">
        <v>14</v>
      </c>
      <c r="B633" t="s">
        <v>7</v>
      </c>
      <c r="C633" t="s">
        <v>28</v>
      </c>
      <c r="D633" t="s">
        <v>1</v>
      </c>
      <c r="E633">
        <v>3</v>
      </c>
      <c r="F633">
        <v>300</v>
      </c>
      <c r="G633">
        <v>448800</v>
      </c>
      <c r="H633">
        <v>62832</v>
      </c>
      <c r="I633" s="1">
        <v>385968</v>
      </c>
      <c r="J633">
        <v>374000</v>
      </c>
      <c r="K633" s="1">
        <v>11968</v>
      </c>
      <c r="L633" s="3">
        <f>(K633/I633)</f>
        <v>3.1007751937984496E-2</v>
      </c>
      <c r="M633" s="2">
        <v>41913</v>
      </c>
      <c r="N633">
        <v>10</v>
      </c>
      <c r="O633" t="s">
        <v>0</v>
      </c>
      <c r="P633">
        <v>2014</v>
      </c>
    </row>
    <row r="634" spans="1:16" x14ac:dyDescent="0.25">
      <c r="A634" t="s">
        <v>14</v>
      </c>
      <c r="B634" t="s">
        <v>3</v>
      </c>
      <c r="C634" t="s">
        <v>28</v>
      </c>
      <c r="D634" t="s">
        <v>1</v>
      </c>
      <c r="E634">
        <v>3</v>
      </c>
      <c r="F634">
        <v>300</v>
      </c>
      <c r="G634">
        <v>303000</v>
      </c>
      <c r="H634">
        <v>42420</v>
      </c>
      <c r="I634" s="1">
        <v>260580</v>
      </c>
      <c r="J634">
        <v>252500</v>
      </c>
      <c r="K634" s="1">
        <v>8080</v>
      </c>
      <c r="L634" s="3">
        <f>(K634/I634)</f>
        <v>3.1007751937984496E-2</v>
      </c>
      <c r="M634" s="2">
        <v>41913</v>
      </c>
      <c r="N634">
        <v>10</v>
      </c>
      <c r="O634" t="s">
        <v>26</v>
      </c>
      <c r="P634">
        <v>2014</v>
      </c>
    </row>
    <row r="635" spans="1:16" x14ac:dyDescent="0.25">
      <c r="A635" t="s">
        <v>23</v>
      </c>
      <c r="B635" t="s">
        <v>19</v>
      </c>
      <c r="C635" t="s">
        <v>28</v>
      </c>
      <c r="D635" t="s">
        <v>1</v>
      </c>
      <c r="E635">
        <v>3</v>
      </c>
      <c r="F635">
        <v>15</v>
      </c>
      <c r="G635">
        <v>22695</v>
      </c>
      <c r="H635">
        <v>3177.3</v>
      </c>
      <c r="I635" s="1">
        <v>19517.7</v>
      </c>
      <c r="J635">
        <v>15130</v>
      </c>
      <c r="K635" s="1">
        <v>4387.7000000000007</v>
      </c>
      <c r="L635" s="3">
        <f>(K635/I635)</f>
        <v>0.22480620155038764</v>
      </c>
      <c r="M635" s="2">
        <v>41944</v>
      </c>
      <c r="N635">
        <v>11</v>
      </c>
      <c r="O635" t="s">
        <v>25</v>
      </c>
      <c r="P635">
        <v>2014</v>
      </c>
    </row>
    <row r="636" spans="1:16" x14ac:dyDescent="0.25">
      <c r="A636" t="s">
        <v>23</v>
      </c>
      <c r="B636" t="s">
        <v>7</v>
      </c>
      <c r="C636" t="s">
        <v>28</v>
      </c>
      <c r="D636" t="s">
        <v>1</v>
      </c>
      <c r="E636">
        <v>3</v>
      </c>
      <c r="F636">
        <v>15</v>
      </c>
      <c r="G636">
        <v>34500</v>
      </c>
      <c r="H636">
        <v>4830</v>
      </c>
      <c r="I636" s="1">
        <v>29670</v>
      </c>
      <c r="J636">
        <v>23000</v>
      </c>
      <c r="K636" s="1">
        <v>6670</v>
      </c>
      <c r="L636" s="3">
        <f>(K636/I636)</f>
        <v>0.22480620155038761</v>
      </c>
      <c r="M636" s="2">
        <v>41974</v>
      </c>
      <c r="N636">
        <v>12</v>
      </c>
      <c r="O636" t="s">
        <v>24</v>
      </c>
      <c r="P636">
        <v>2014</v>
      </c>
    </row>
    <row r="637" spans="1:16" x14ac:dyDescent="0.25">
      <c r="A637" t="s">
        <v>20</v>
      </c>
      <c r="B637" t="s">
        <v>11</v>
      </c>
      <c r="C637" t="s">
        <v>28</v>
      </c>
      <c r="D637" t="s">
        <v>1</v>
      </c>
      <c r="E637">
        <v>3</v>
      </c>
      <c r="F637">
        <v>125</v>
      </c>
      <c r="G637">
        <v>352625</v>
      </c>
      <c r="H637">
        <v>49367.5</v>
      </c>
      <c r="I637" s="1">
        <v>303257.5</v>
      </c>
      <c r="J637">
        <v>338520</v>
      </c>
      <c r="K637" s="1">
        <v>-35262.5</v>
      </c>
      <c r="L637" s="3">
        <f>(K637/I637)</f>
        <v>-0.11627906976744186</v>
      </c>
      <c r="M637" s="2">
        <v>41609</v>
      </c>
      <c r="N637">
        <v>12</v>
      </c>
      <c r="O637" t="s">
        <v>22</v>
      </c>
      <c r="P637">
        <v>2013</v>
      </c>
    </row>
    <row r="638" spans="1:16" x14ac:dyDescent="0.25">
      <c r="A638" t="s">
        <v>8</v>
      </c>
      <c r="B638" t="s">
        <v>7</v>
      </c>
      <c r="C638" t="s">
        <v>10</v>
      </c>
      <c r="D638" t="s">
        <v>1</v>
      </c>
      <c r="E638">
        <v>5</v>
      </c>
      <c r="F638">
        <v>350</v>
      </c>
      <c r="G638">
        <v>779625</v>
      </c>
      <c r="H638">
        <v>109147.5</v>
      </c>
      <c r="I638" s="1">
        <v>670477.5</v>
      </c>
      <c r="J638">
        <v>579150</v>
      </c>
      <c r="K638" s="1">
        <v>91327.5</v>
      </c>
      <c r="L638" s="3">
        <f>(K638/I638)</f>
        <v>0.13621262458471761</v>
      </c>
      <c r="M638" s="2">
        <v>41640</v>
      </c>
      <c r="N638">
        <v>1</v>
      </c>
      <c r="O638" t="s">
        <v>21</v>
      </c>
      <c r="P638">
        <v>2014</v>
      </c>
    </row>
    <row r="639" spans="1:16" x14ac:dyDescent="0.25">
      <c r="A639" t="s">
        <v>8</v>
      </c>
      <c r="B639" t="s">
        <v>19</v>
      </c>
      <c r="C639" t="s">
        <v>10</v>
      </c>
      <c r="D639" t="s">
        <v>1</v>
      </c>
      <c r="E639">
        <v>5</v>
      </c>
      <c r="F639">
        <v>350</v>
      </c>
      <c r="G639">
        <v>419650</v>
      </c>
      <c r="H639">
        <v>58751</v>
      </c>
      <c r="I639" s="1">
        <v>360899</v>
      </c>
      <c r="J639">
        <v>311740</v>
      </c>
      <c r="K639" s="1">
        <v>49159</v>
      </c>
      <c r="L639" s="3">
        <f>(K639/I639)</f>
        <v>0.13621262458471761</v>
      </c>
      <c r="M639" s="2">
        <v>41730</v>
      </c>
      <c r="N639">
        <v>4</v>
      </c>
      <c r="O639" t="s">
        <v>18</v>
      </c>
      <c r="P639">
        <v>2014</v>
      </c>
    </row>
    <row r="640" spans="1:16" x14ac:dyDescent="0.25">
      <c r="A640" t="s">
        <v>8</v>
      </c>
      <c r="B640" t="s">
        <v>7</v>
      </c>
      <c r="C640" t="s">
        <v>10</v>
      </c>
      <c r="D640" t="s">
        <v>1</v>
      </c>
      <c r="E640">
        <v>5</v>
      </c>
      <c r="F640">
        <v>350</v>
      </c>
      <c r="G640">
        <v>70000</v>
      </c>
      <c r="H640">
        <v>9800</v>
      </c>
      <c r="I640" s="1">
        <v>60200</v>
      </c>
      <c r="J640">
        <v>52000</v>
      </c>
      <c r="K640" s="1">
        <v>8200</v>
      </c>
      <c r="L640" s="3">
        <f>(K640/I640)</f>
        <v>0.13621262458471761</v>
      </c>
      <c r="M640" s="2">
        <v>41760</v>
      </c>
      <c r="N640">
        <v>5</v>
      </c>
      <c r="O640" t="s">
        <v>17</v>
      </c>
      <c r="P640">
        <v>2014</v>
      </c>
    </row>
    <row r="641" spans="1:16" x14ac:dyDescent="0.25">
      <c r="A641" t="s">
        <v>8</v>
      </c>
      <c r="B641" t="s">
        <v>7</v>
      </c>
      <c r="C641" t="s">
        <v>10</v>
      </c>
      <c r="D641" t="s">
        <v>1</v>
      </c>
      <c r="E641">
        <v>5</v>
      </c>
      <c r="F641">
        <v>7</v>
      </c>
      <c r="G641">
        <v>2716</v>
      </c>
      <c r="H641">
        <v>380.24</v>
      </c>
      <c r="I641" s="1">
        <v>2335.7600000000002</v>
      </c>
      <c r="J641">
        <v>1940</v>
      </c>
      <c r="K641" s="1">
        <v>395.76000000000022</v>
      </c>
      <c r="L641" s="3">
        <f>(K641/I641)</f>
        <v>0.16943521594684394</v>
      </c>
      <c r="M641" s="2">
        <v>41883</v>
      </c>
      <c r="N641">
        <v>9</v>
      </c>
      <c r="O641" t="s">
        <v>15</v>
      </c>
      <c r="P641">
        <v>2014</v>
      </c>
    </row>
    <row r="642" spans="1:16" x14ac:dyDescent="0.25">
      <c r="A642" t="s">
        <v>8</v>
      </c>
      <c r="B642" t="s">
        <v>11</v>
      </c>
      <c r="C642" t="s">
        <v>10</v>
      </c>
      <c r="D642" t="s">
        <v>1</v>
      </c>
      <c r="E642">
        <v>5</v>
      </c>
      <c r="F642">
        <v>7</v>
      </c>
      <c r="G642">
        <v>12089</v>
      </c>
      <c r="H642">
        <v>1692.46</v>
      </c>
      <c r="I642" s="1">
        <v>10396.540000000001</v>
      </c>
      <c r="J642">
        <v>8635</v>
      </c>
      <c r="K642" s="1">
        <v>1761.5400000000009</v>
      </c>
      <c r="L642" s="3">
        <f>(K642/I642)</f>
        <v>0.16943521594684394</v>
      </c>
      <c r="M642" s="2">
        <v>41548</v>
      </c>
      <c r="N642">
        <v>10</v>
      </c>
      <c r="O642" t="s">
        <v>12</v>
      </c>
      <c r="P642">
        <v>2013</v>
      </c>
    </row>
    <row r="643" spans="1:16" x14ac:dyDescent="0.25">
      <c r="A643" t="s">
        <v>23</v>
      </c>
      <c r="B643" t="s">
        <v>7</v>
      </c>
      <c r="C643" t="s">
        <v>10</v>
      </c>
      <c r="D643" t="s">
        <v>1</v>
      </c>
      <c r="E643">
        <v>5</v>
      </c>
      <c r="F643">
        <v>15</v>
      </c>
      <c r="G643">
        <v>34500</v>
      </c>
      <c r="H643">
        <v>4830</v>
      </c>
      <c r="I643" s="1">
        <v>29670</v>
      </c>
      <c r="J643">
        <v>23000</v>
      </c>
      <c r="K643" s="1">
        <v>6670</v>
      </c>
      <c r="L643" s="3">
        <f>(K643/I643)</f>
        <v>0.22480620155038761</v>
      </c>
      <c r="M643" s="2">
        <v>41974</v>
      </c>
      <c r="N643">
        <v>12</v>
      </c>
      <c r="O643" t="s">
        <v>9</v>
      </c>
      <c r="P643">
        <v>2014</v>
      </c>
    </row>
    <row r="644" spans="1:16" x14ac:dyDescent="0.25">
      <c r="A644" t="s">
        <v>8</v>
      </c>
      <c r="B644" t="s">
        <v>11</v>
      </c>
      <c r="C644" t="s">
        <v>6</v>
      </c>
      <c r="D644" t="s">
        <v>1</v>
      </c>
      <c r="E644">
        <v>10</v>
      </c>
      <c r="F644">
        <v>20</v>
      </c>
      <c r="G644">
        <v>5200</v>
      </c>
      <c r="H644">
        <v>728</v>
      </c>
      <c r="I644" s="1">
        <v>4472</v>
      </c>
      <c r="J644">
        <v>2600</v>
      </c>
      <c r="K644" s="1">
        <v>1872</v>
      </c>
      <c r="L644" s="3">
        <f>(K644/I644)</f>
        <v>0.41860465116279072</v>
      </c>
      <c r="M644" s="2">
        <v>41671</v>
      </c>
      <c r="N644">
        <v>2</v>
      </c>
      <c r="O644" t="s">
        <v>5</v>
      </c>
      <c r="P644">
        <v>2014</v>
      </c>
    </row>
    <row r="645" spans="1:16" x14ac:dyDescent="0.25">
      <c r="A645" t="s">
        <v>23</v>
      </c>
      <c r="B645" t="s">
        <v>7</v>
      </c>
      <c r="C645" t="s">
        <v>6</v>
      </c>
      <c r="D645" t="s">
        <v>1</v>
      </c>
      <c r="E645">
        <v>10</v>
      </c>
      <c r="F645">
        <v>15</v>
      </c>
      <c r="G645">
        <v>37050</v>
      </c>
      <c r="H645">
        <v>5187</v>
      </c>
      <c r="I645" s="1">
        <v>31863</v>
      </c>
      <c r="J645">
        <v>24700</v>
      </c>
      <c r="K645" s="1">
        <v>7163</v>
      </c>
      <c r="L645" s="3">
        <f>(K645/I645)</f>
        <v>0.22480620155038761</v>
      </c>
      <c r="M645" s="2">
        <v>41518</v>
      </c>
      <c r="N645">
        <v>9</v>
      </c>
      <c r="O645" t="s">
        <v>0</v>
      </c>
      <c r="P645">
        <v>2013</v>
      </c>
    </row>
    <row r="646" spans="1:16" x14ac:dyDescent="0.25">
      <c r="A646" t="s">
        <v>23</v>
      </c>
      <c r="B646" t="s">
        <v>7</v>
      </c>
      <c r="C646" t="s">
        <v>6</v>
      </c>
      <c r="D646" t="s">
        <v>1</v>
      </c>
      <c r="E646">
        <v>10</v>
      </c>
      <c r="F646">
        <v>15</v>
      </c>
      <c r="G646">
        <v>26145</v>
      </c>
      <c r="H646">
        <v>3660.3</v>
      </c>
      <c r="I646" s="1">
        <v>22484.7</v>
      </c>
      <c r="J646">
        <v>17430</v>
      </c>
      <c r="K646" s="1">
        <v>5054.7000000000007</v>
      </c>
      <c r="L646" s="3">
        <f>(K646/I646)</f>
        <v>0.22480620155038764</v>
      </c>
      <c r="M646" s="2">
        <v>41548</v>
      </c>
      <c r="N646">
        <v>10</v>
      </c>
      <c r="O646" t="s">
        <v>26</v>
      </c>
      <c r="P646">
        <v>2013</v>
      </c>
    </row>
    <row r="647" spans="1:16" x14ac:dyDescent="0.25">
      <c r="A647" t="s">
        <v>4</v>
      </c>
      <c r="B647" t="s">
        <v>3</v>
      </c>
      <c r="C647" t="s">
        <v>6</v>
      </c>
      <c r="D647" t="s">
        <v>1</v>
      </c>
      <c r="E647">
        <v>10</v>
      </c>
      <c r="F647">
        <v>12</v>
      </c>
      <c r="G647">
        <v>34968</v>
      </c>
      <c r="H647">
        <v>4895.5200000000004</v>
      </c>
      <c r="I647" s="1">
        <v>30072.48</v>
      </c>
      <c r="J647">
        <v>8742</v>
      </c>
      <c r="K647" s="1">
        <v>21330.48</v>
      </c>
      <c r="L647" s="3">
        <f>(K647/I647)</f>
        <v>0.70930232558139539</v>
      </c>
      <c r="M647" s="2">
        <v>41913</v>
      </c>
      <c r="N647">
        <v>10</v>
      </c>
      <c r="O647" t="s">
        <v>25</v>
      </c>
      <c r="P647">
        <v>2014</v>
      </c>
    </row>
    <row r="648" spans="1:16" x14ac:dyDescent="0.25">
      <c r="A648" t="s">
        <v>8</v>
      </c>
      <c r="B648" t="s">
        <v>16</v>
      </c>
      <c r="C648" t="s">
        <v>6</v>
      </c>
      <c r="D648" t="s">
        <v>1</v>
      </c>
      <c r="E648">
        <v>10</v>
      </c>
      <c r="F648">
        <v>7</v>
      </c>
      <c r="G648">
        <v>12117</v>
      </c>
      <c r="H648">
        <v>1696.38</v>
      </c>
      <c r="I648" s="1">
        <v>10420.619999999999</v>
      </c>
      <c r="J648">
        <v>8655</v>
      </c>
      <c r="K648" s="1">
        <v>1765.619999999999</v>
      </c>
      <c r="L648" s="3">
        <f>(K648/I648)</f>
        <v>0.16943521594684377</v>
      </c>
      <c r="M648" s="2">
        <v>41913</v>
      </c>
      <c r="N648">
        <v>10</v>
      </c>
      <c r="O648" t="s">
        <v>24</v>
      </c>
      <c r="P648">
        <v>2014</v>
      </c>
    </row>
    <row r="649" spans="1:16" x14ac:dyDescent="0.25">
      <c r="A649" t="s">
        <v>8</v>
      </c>
      <c r="B649" t="s">
        <v>7</v>
      </c>
      <c r="C649" t="s">
        <v>6</v>
      </c>
      <c r="D649" t="s">
        <v>1</v>
      </c>
      <c r="E649">
        <v>10</v>
      </c>
      <c r="F649">
        <v>350</v>
      </c>
      <c r="G649">
        <v>245000</v>
      </c>
      <c r="H649">
        <v>34300</v>
      </c>
      <c r="I649" s="1">
        <v>210700</v>
      </c>
      <c r="J649">
        <v>182000</v>
      </c>
      <c r="K649" s="1">
        <v>28700</v>
      </c>
      <c r="L649" s="3">
        <f>(K649/I649)</f>
        <v>0.13621262458471761</v>
      </c>
      <c r="M649" s="2">
        <v>41944</v>
      </c>
      <c r="N649">
        <v>11</v>
      </c>
      <c r="O649" t="s">
        <v>22</v>
      </c>
      <c r="P649">
        <v>2014</v>
      </c>
    </row>
    <row r="650" spans="1:16" x14ac:dyDescent="0.25">
      <c r="A650" t="s">
        <v>4</v>
      </c>
      <c r="B650" t="s">
        <v>7</v>
      </c>
      <c r="C650" t="s">
        <v>6</v>
      </c>
      <c r="D650" t="s">
        <v>1</v>
      </c>
      <c r="E650">
        <v>10</v>
      </c>
      <c r="F650">
        <v>12</v>
      </c>
      <c r="G650">
        <v>26664</v>
      </c>
      <c r="H650">
        <v>3732.96</v>
      </c>
      <c r="I650" s="1">
        <v>22931.040000000001</v>
      </c>
      <c r="J650">
        <v>6666</v>
      </c>
      <c r="K650" s="1">
        <v>16265.04</v>
      </c>
      <c r="L650" s="3">
        <f>(K650/I650)</f>
        <v>0.70930232558139539</v>
      </c>
      <c r="M650" s="2">
        <v>41579</v>
      </c>
      <c r="N650">
        <v>11</v>
      </c>
      <c r="O650" t="s">
        <v>21</v>
      </c>
      <c r="P650">
        <v>2013</v>
      </c>
    </row>
    <row r="651" spans="1:16" x14ac:dyDescent="0.25">
      <c r="A651" t="s">
        <v>8</v>
      </c>
      <c r="B651" t="s">
        <v>3</v>
      </c>
      <c r="C651" t="s">
        <v>6</v>
      </c>
      <c r="D651" t="s">
        <v>1</v>
      </c>
      <c r="E651">
        <v>10</v>
      </c>
      <c r="F651">
        <v>350</v>
      </c>
      <c r="G651">
        <v>411950</v>
      </c>
      <c r="H651">
        <v>57673</v>
      </c>
      <c r="I651" s="1">
        <v>354277</v>
      </c>
      <c r="J651">
        <v>306020</v>
      </c>
      <c r="K651" s="1">
        <v>48257</v>
      </c>
      <c r="L651" s="3">
        <f>(K651/I651)</f>
        <v>0.13621262458471761</v>
      </c>
      <c r="M651" s="2">
        <v>41944</v>
      </c>
      <c r="N651">
        <v>11</v>
      </c>
      <c r="O651" t="s">
        <v>18</v>
      </c>
      <c r="P651">
        <v>2014</v>
      </c>
    </row>
    <row r="652" spans="1:16" x14ac:dyDescent="0.25">
      <c r="A652" t="s">
        <v>8</v>
      </c>
      <c r="B652" t="s">
        <v>16</v>
      </c>
      <c r="C652" t="s">
        <v>6</v>
      </c>
      <c r="D652" t="s">
        <v>1</v>
      </c>
      <c r="E652">
        <v>10</v>
      </c>
      <c r="F652">
        <v>350</v>
      </c>
      <c r="G652">
        <v>672700</v>
      </c>
      <c r="H652">
        <v>94178</v>
      </c>
      <c r="I652" s="1">
        <v>578522</v>
      </c>
      <c r="J652">
        <v>499720</v>
      </c>
      <c r="K652" s="1">
        <v>78802</v>
      </c>
      <c r="L652" s="3">
        <f>(K652/I652)</f>
        <v>0.13621262458471761</v>
      </c>
      <c r="M652" s="2">
        <v>41579</v>
      </c>
      <c r="N652">
        <v>11</v>
      </c>
      <c r="O652" t="s">
        <v>17</v>
      </c>
      <c r="P652">
        <v>2013</v>
      </c>
    </row>
    <row r="653" spans="1:16" x14ac:dyDescent="0.25">
      <c r="A653" t="s">
        <v>20</v>
      </c>
      <c r="B653" t="s">
        <v>11</v>
      </c>
      <c r="C653" t="s">
        <v>27</v>
      </c>
      <c r="D653" t="s">
        <v>1</v>
      </c>
      <c r="E653">
        <v>120</v>
      </c>
      <c r="F653">
        <v>125</v>
      </c>
      <c r="G653">
        <v>196875</v>
      </c>
      <c r="H653">
        <v>27562.5</v>
      </c>
      <c r="I653" s="1">
        <v>169312.5</v>
      </c>
      <c r="J653">
        <v>189000</v>
      </c>
      <c r="K653" s="1">
        <v>-19687.5</v>
      </c>
      <c r="L653" s="3">
        <f>(K653/I653)</f>
        <v>-0.11627906976744186</v>
      </c>
      <c r="M653" s="2">
        <v>41671</v>
      </c>
      <c r="N653">
        <v>2</v>
      </c>
      <c r="O653" t="s">
        <v>15</v>
      </c>
      <c r="P653">
        <v>2014</v>
      </c>
    </row>
    <row r="654" spans="1:16" x14ac:dyDescent="0.25">
      <c r="A654" t="s">
        <v>8</v>
      </c>
      <c r="B654" t="s">
        <v>3</v>
      </c>
      <c r="C654" t="s">
        <v>27</v>
      </c>
      <c r="D654" t="s">
        <v>1</v>
      </c>
      <c r="E654">
        <v>120</v>
      </c>
      <c r="F654">
        <v>20</v>
      </c>
      <c r="G654">
        <v>12120</v>
      </c>
      <c r="H654">
        <v>1696.8000000000002</v>
      </c>
      <c r="I654" s="1">
        <v>10423.200000000001</v>
      </c>
      <c r="J654">
        <v>6060</v>
      </c>
      <c r="K654" s="1">
        <v>4363.2000000000007</v>
      </c>
      <c r="L654" s="3">
        <f>(K654/I654)</f>
        <v>0.41860465116279072</v>
      </c>
      <c r="M654" s="2">
        <v>41730</v>
      </c>
      <c r="N654">
        <v>4</v>
      </c>
      <c r="O654" t="s">
        <v>12</v>
      </c>
      <c r="P654">
        <v>2014</v>
      </c>
    </row>
    <row r="655" spans="1:16" x14ac:dyDescent="0.25">
      <c r="A655" t="s">
        <v>14</v>
      </c>
      <c r="B655" t="s">
        <v>3</v>
      </c>
      <c r="C655" t="s">
        <v>27</v>
      </c>
      <c r="D655" t="s">
        <v>1</v>
      </c>
      <c r="E655">
        <v>120</v>
      </c>
      <c r="F655">
        <v>300</v>
      </c>
      <c r="G655">
        <v>738000</v>
      </c>
      <c r="H655">
        <v>103320</v>
      </c>
      <c r="I655" s="1">
        <v>634680</v>
      </c>
      <c r="J655">
        <v>615000</v>
      </c>
      <c r="K655" s="1">
        <v>19680</v>
      </c>
      <c r="L655" s="3">
        <f>(K655/I655)</f>
        <v>3.1007751937984496E-2</v>
      </c>
      <c r="M655" s="2">
        <v>41821</v>
      </c>
      <c r="N655">
        <v>7</v>
      </c>
      <c r="O655" t="s">
        <v>9</v>
      </c>
      <c r="P655">
        <v>2014</v>
      </c>
    </row>
    <row r="656" spans="1:16" x14ac:dyDescent="0.25">
      <c r="A656" t="s">
        <v>14</v>
      </c>
      <c r="B656" t="s">
        <v>7</v>
      </c>
      <c r="C656" t="s">
        <v>27</v>
      </c>
      <c r="D656" t="s">
        <v>1</v>
      </c>
      <c r="E656">
        <v>120</v>
      </c>
      <c r="F656">
        <v>300</v>
      </c>
      <c r="G656">
        <v>80700</v>
      </c>
      <c r="H656">
        <v>11298</v>
      </c>
      <c r="I656" s="1">
        <v>69402</v>
      </c>
      <c r="J656">
        <v>67250</v>
      </c>
      <c r="K656" s="1">
        <v>2152</v>
      </c>
      <c r="L656" s="3">
        <f>(K656/I656)</f>
        <v>3.1007751937984496E-2</v>
      </c>
      <c r="M656" s="2">
        <v>41548</v>
      </c>
      <c r="N656">
        <v>10</v>
      </c>
      <c r="O656" t="s">
        <v>5</v>
      </c>
      <c r="P656">
        <v>2013</v>
      </c>
    </row>
    <row r="657" spans="1:16" x14ac:dyDescent="0.25">
      <c r="A657" t="s">
        <v>14</v>
      </c>
      <c r="B657" t="s">
        <v>19</v>
      </c>
      <c r="C657" t="s">
        <v>27</v>
      </c>
      <c r="D657" t="s">
        <v>1</v>
      </c>
      <c r="E657">
        <v>120</v>
      </c>
      <c r="F657">
        <v>300</v>
      </c>
      <c r="G657">
        <v>760800</v>
      </c>
      <c r="H657">
        <v>106512</v>
      </c>
      <c r="I657" s="1">
        <v>654288</v>
      </c>
      <c r="J657">
        <v>634000</v>
      </c>
      <c r="K657" s="1">
        <v>20288</v>
      </c>
      <c r="L657" s="3">
        <f>(K657/I657)</f>
        <v>3.1007751937984496E-2</v>
      </c>
      <c r="M657" s="2">
        <v>41579</v>
      </c>
      <c r="N657">
        <v>11</v>
      </c>
      <c r="O657" t="s">
        <v>0</v>
      </c>
      <c r="P657">
        <v>2013</v>
      </c>
    </row>
    <row r="658" spans="1:16" x14ac:dyDescent="0.25">
      <c r="A658" t="s">
        <v>8</v>
      </c>
      <c r="B658" t="s">
        <v>11</v>
      </c>
      <c r="C658" t="s">
        <v>2</v>
      </c>
      <c r="D658" t="s">
        <v>1</v>
      </c>
      <c r="E658">
        <v>250</v>
      </c>
      <c r="F658">
        <v>7</v>
      </c>
      <c r="G658">
        <v>20321</v>
      </c>
      <c r="H658">
        <v>2844.94</v>
      </c>
      <c r="I658" s="1">
        <v>17476.060000000001</v>
      </c>
      <c r="J658">
        <v>14515</v>
      </c>
      <c r="K658" s="1">
        <v>2961.0600000000013</v>
      </c>
      <c r="L658" s="3">
        <f>(K658/I658)</f>
        <v>0.16943521594684391</v>
      </c>
      <c r="M658" s="2">
        <v>41699</v>
      </c>
      <c r="N658">
        <v>3</v>
      </c>
      <c r="O658" t="s">
        <v>26</v>
      </c>
      <c r="P658">
        <v>2014</v>
      </c>
    </row>
    <row r="659" spans="1:16" x14ac:dyDescent="0.25">
      <c r="A659" t="s">
        <v>14</v>
      </c>
      <c r="B659" t="s">
        <v>3</v>
      </c>
      <c r="C659" t="s">
        <v>2</v>
      </c>
      <c r="D659" t="s">
        <v>1</v>
      </c>
      <c r="E659">
        <v>250</v>
      </c>
      <c r="F659">
        <v>300</v>
      </c>
      <c r="G659">
        <v>762300</v>
      </c>
      <c r="H659">
        <v>106722</v>
      </c>
      <c r="I659" s="1">
        <v>655578</v>
      </c>
      <c r="J659">
        <v>635250</v>
      </c>
      <c r="K659" s="1">
        <v>20328</v>
      </c>
      <c r="L659" s="3">
        <f>(K659/I659)</f>
        <v>3.1007751937984496E-2</v>
      </c>
      <c r="M659" s="2">
        <v>41852</v>
      </c>
      <c r="N659">
        <v>8</v>
      </c>
      <c r="O659" t="s">
        <v>25</v>
      </c>
      <c r="P659">
        <v>2014</v>
      </c>
    </row>
    <row r="660" spans="1:16" x14ac:dyDescent="0.25">
      <c r="A660" t="s">
        <v>14</v>
      </c>
      <c r="B660" t="s">
        <v>7</v>
      </c>
      <c r="C660" t="s">
        <v>2</v>
      </c>
      <c r="D660" t="s">
        <v>1</v>
      </c>
      <c r="E660">
        <v>250</v>
      </c>
      <c r="F660">
        <v>300</v>
      </c>
      <c r="G660">
        <v>80700</v>
      </c>
      <c r="H660">
        <v>11298</v>
      </c>
      <c r="I660" s="1">
        <v>69402</v>
      </c>
      <c r="J660">
        <v>67250</v>
      </c>
      <c r="K660" s="1">
        <v>2152</v>
      </c>
      <c r="L660" s="3">
        <f>(K660/I660)</f>
        <v>3.1007751937984496E-2</v>
      </c>
      <c r="M660" s="2">
        <v>41548</v>
      </c>
      <c r="N660">
        <v>10</v>
      </c>
      <c r="O660" t="s">
        <v>24</v>
      </c>
      <c r="P660">
        <v>2013</v>
      </c>
    </row>
    <row r="661" spans="1:16" x14ac:dyDescent="0.25">
      <c r="A661" t="s">
        <v>14</v>
      </c>
      <c r="B661" t="s">
        <v>7</v>
      </c>
      <c r="C661" t="s">
        <v>2</v>
      </c>
      <c r="D661" t="s">
        <v>1</v>
      </c>
      <c r="E661">
        <v>250</v>
      </c>
      <c r="F661">
        <v>300</v>
      </c>
      <c r="G661">
        <v>448800</v>
      </c>
      <c r="H661">
        <v>62832</v>
      </c>
      <c r="I661" s="1">
        <v>385968</v>
      </c>
      <c r="J661">
        <v>374000</v>
      </c>
      <c r="K661" s="1">
        <v>11968</v>
      </c>
      <c r="L661" s="3">
        <f>(K661/I661)</f>
        <v>3.1007751937984496E-2</v>
      </c>
      <c r="M661" s="2">
        <v>41913</v>
      </c>
      <c r="N661">
        <v>10</v>
      </c>
      <c r="O661" t="s">
        <v>22</v>
      </c>
      <c r="P661">
        <v>2014</v>
      </c>
    </row>
    <row r="662" spans="1:16" x14ac:dyDescent="0.25">
      <c r="A662" t="s">
        <v>14</v>
      </c>
      <c r="B662" t="s">
        <v>3</v>
      </c>
      <c r="C662" t="s">
        <v>2</v>
      </c>
      <c r="D662" t="s">
        <v>1</v>
      </c>
      <c r="E662">
        <v>250</v>
      </c>
      <c r="F662">
        <v>300</v>
      </c>
      <c r="G662">
        <v>303000</v>
      </c>
      <c r="H662">
        <v>42420</v>
      </c>
      <c r="I662" s="1">
        <v>260580</v>
      </c>
      <c r="J662">
        <v>252500</v>
      </c>
      <c r="K662" s="1">
        <v>8080</v>
      </c>
      <c r="L662" s="3">
        <f>(K662/I662)</f>
        <v>3.1007751937984496E-2</v>
      </c>
      <c r="M662" s="2">
        <v>41913</v>
      </c>
      <c r="N662">
        <v>10</v>
      </c>
      <c r="O662" t="s">
        <v>21</v>
      </c>
      <c r="P662">
        <v>2014</v>
      </c>
    </row>
    <row r="663" spans="1:16" x14ac:dyDescent="0.25">
      <c r="A663" t="s">
        <v>8</v>
      </c>
      <c r="B663" t="s">
        <v>16</v>
      </c>
      <c r="C663" t="s">
        <v>2</v>
      </c>
      <c r="D663" t="s">
        <v>1</v>
      </c>
      <c r="E663">
        <v>250</v>
      </c>
      <c r="F663">
        <v>350</v>
      </c>
      <c r="G663">
        <v>448350</v>
      </c>
      <c r="H663">
        <v>62769</v>
      </c>
      <c r="I663" s="1">
        <v>385581</v>
      </c>
      <c r="J663">
        <v>333060</v>
      </c>
      <c r="K663" s="1">
        <v>52521</v>
      </c>
      <c r="L663" s="3">
        <f>(K663/I663)</f>
        <v>0.13621262458471761</v>
      </c>
      <c r="M663" s="2">
        <v>41609</v>
      </c>
      <c r="N663">
        <v>12</v>
      </c>
      <c r="O663" t="s">
        <v>18</v>
      </c>
      <c r="P663">
        <v>2013</v>
      </c>
    </row>
    <row r="664" spans="1:16" x14ac:dyDescent="0.25">
      <c r="A664" t="s">
        <v>14</v>
      </c>
      <c r="B664" t="s">
        <v>7</v>
      </c>
      <c r="C664" t="s">
        <v>13</v>
      </c>
      <c r="D664" t="s">
        <v>1</v>
      </c>
      <c r="E664">
        <v>260</v>
      </c>
      <c r="F664">
        <v>300</v>
      </c>
      <c r="G664">
        <v>266400</v>
      </c>
      <c r="H664">
        <v>37296</v>
      </c>
      <c r="I664" s="1">
        <v>229104</v>
      </c>
      <c r="J664">
        <v>222000</v>
      </c>
      <c r="K664" s="1">
        <v>7104</v>
      </c>
      <c r="L664" s="3">
        <f>(K664/I664)</f>
        <v>3.1007751937984496E-2</v>
      </c>
      <c r="M664" s="2">
        <v>41699</v>
      </c>
      <c r="N664">
        <v>3</v>
      </c>
      <c r="O664" t="s">
        <v>17</v>
      </c>
      <c r="P664">
        <v>2014</v>
      </c>
    </row>
    <row r="665" spans="1:16" x14ac:dyDescent="0.25">
      <c r="A665" t="s">
        <v>20</v>
      </c>
      <c r="B665" t="s">
        <v>3</v>
      </c>
      <c r="C665" t="s">
        <v>13</v>
      </c>
      <c r="D665" t="s">
        <v>1</v>
      </c>
      <c r="E665">
        <v>260</v>
      </c>
      <c r="F665">
        <v>125</v>
      </c>
      <c r="G665">
        <v>355500</v>
      </c>
      <c r="H665">
        <v>49770</v>
      </c>
      <c r="I665" s="1">
        <v>305730</v>
      </c>
      <c r="J665">
        <v>341280</v>
      </c>
      <c r="K665" s="1">
        <v>-35550</v>
      </c>
      <c r="L665" s="3">
        <f>(K665/I665)</f>
        <v>-0.11627906976744186</v>
      </c>
      <c r="M665" s="2">
        <v>41760</v>
      </c>
      <c r="N665">
        <v>5</v>
      </c>
      <c r="O665" t="s">
        <v>15</v>
      </c>
      <c r="P665">
        <v>2014</v>
      </c>
    </row>
    <row r="666" spans="1:16" x14ac:dyDescent="0.25">
      <c r="A666" t="s">
        <v>4</v>
      </c>
      <c r="B666" t="s">
        <v>16</v>
      </c>
      <c r="C666" t="s">
        <v>13</v>
      </c>
      <c r="D666" t="s">
        <v>1</v>
      </c>
      <c r="E666">
        <v>260</v>
      </c>
      <c r="F666">
        <v>12</v>
      </c>
      <c r="G666">
        <v>29700</v>
      </c>
      <c r="H666">
        <v>4158</v>
      </c>
      <c r="I666" s="1">
        <v>25542</v>
      </c>
      <c r="J666">
        <v>7425</v>
      </c>
      <c r="K666" s="1">
        <v>18117</v>
      </c>
      <c r="L666" s="3">
        <f>(K666/I666)</f>
        <v>0.70930232558139539</v>
      </c>
      <c r="M666" s="2">
        <v>41852</v>
      </c>
      <c r="N666">
        <v>8</v>
      </c>
      <c r="O666" t="s">
        <v>12</v>
      </c>
      <c r="P666">
        <v>2014</v>
      </c>
    </row>
    <row r="667" spans="1:16" x14ac:dyDescent="0.25">
      <c r="A667" t="s">
        <v>23</v>
      </c>
      <c r="B667" t="s">
        <v>7</v>
      </c>
      <c r="C667" t="s">
        <v>13</v>
      </c>
      <c r="D667" t="s">
        <v>1</v>
      </c>
      <c r="E667">
        <v>260</v>
      </c>
      <c r="F667">
        <v>15</v>
      </c>
      <c r="G667">
        <v>26145</v>
      </c>
      <c r="H667">
        <v>3660.3</v>
      </c>
      <c r="I667" s="1">
        <v>22484.7</v>
      </c>
      <c r="J667">
        <v>17430</v>
      </c>
      <c r="K667" s="1">
        <v>5054.7000000000007</v>
      </c>
      <c r="L667" s="3">
        <f>(K667/I667)</f>
        <v>0.22480620155038764</v>
      </c>
      <c r="M667" s="2">
        <v>41548</v>
      </c>
      <c r="N667">
        <v>10</v>
      </c>
      <c r="O667" t="s">
        <v>9</v>
      </c>
      <c r="P667">
        <v>2013</v>
      </c>
    </row>
    <row r="668" spans="1:16" x14ac:dyDescent="0.25">
      <c r="A668" t="s">
        <v>4</v>
      </c>
      <c r="B668" t="s">
        <v>3</v>
      </c>
      <c r="C668" t="s">
        <v>13</v>
      </c>
      <c r="D668" t="s">
        <v>1</v>
      </c>
      <c r="E668">
        <v>260</v>
      </c>
      <c r="F668">
        <v>12</v>
      </c>
      <c r="G668">
        <v>34968</v>
      </c>
      <c r="H668">
        <v>4895.5200000000004</v>
      </c>
      <c r="I668" s="1">
        <v>30072.48</v>
      </c>
      <c r="J668">
        <v>8742</v>
      </c>
      <c r="K668" s="1">
        <v>21330.48</v>
      </c>
      <c r="L668" s="3">
        <f>(K668/I668)</f>
        <v>0.70930232558139539</v>
      </c>
      <c r="M668" s="2">
        <v>41913</v>
      </c>
      <c r="N668">
        <v>10</v>
      </c>
      <c r="O668" t="s">
        <v>5</v>
      </c>
      <c r="P668">
        <v>2014</v>
      </c>
    </row>
    <row r="669" spans="1:16" x14ac:dyDescent="0.25">
      <c r="A669" t="s">
        <v>8</v>
      </c>
      <c r="B669" t="s">
        <v>16</v>
      </c>
      <c r="C669" t="s">
        <v>13</v>
      </c>
      <c r="D669" t="s">
        <v>1</v>
      </c>
      <c r="E669">
        <v>260</v>
      </c>
      <c r="F669">
        <v>7</v>
      </c>
      <c r="G669">
        <v>12117</v>
      </c>
      <c r="H669">
        <v>1696.38</v>
      </c>
      <c r="I669" s="1">
        <v>10420.619999999999</v>
      </c>
      <c r="J669">
        <v>8655</v>
      </c>
      <c r="K669" s="1">
        <v>1765.619999999999</v>
      </c>
      <c r="L669" s="3">
        <f>(K669/I669)</f>
        <v>0.16943521594684377</v>
      </c>
      <c r="M669" s="2">
        <v>41913</v>
      </c>
      <c r="N669">
        <v>10</v>
      </c>
      <c r="O669" t="s">
        <v>0</v>
      </c>
      <c r="P669">
        <v>2014</v>
      </c>
    </row>
    <row r="670" spans="1:16" x14ac:dyDescent="0.25">
      <c r="A670" t="s">
        <v>8</v>
      </c>
      <c r="B670" t="s">
        <v>11</v>
      </c>
      <c r="C670" t="s">
        <v>13</v>
      </c>
      <c r="D670" t="s">
        <v>1</v>
      </c>
      <c r="E670">
        <v>260</v>
      </c>
      <c r="F670">
        <v>7</v>
      </c>
      <c r="G670">
        <v>12089</v>
      </c>
      <c r="H670">
        <v>1692.46</v>
      </c>
      <c r="I670" s="1">
        <v>10396.540000000001</v>
      </c>
      <c r="J670">
        <v>8635</v>
      </c>
      <c r="K670" s="1">
        <v>1761.5400000000009</v>
      </c>
      <c r="L670" s="3">
        <f>(K670/I670)</f>
        <v>0.16943521594684394</v>
      </c>
      <c r="M670" s="2">
        <v>41548</v>
      </c>
      <c r="N670">
        <v>10</v>
      </c>
      <c r="O670" t="s">
        <v>26</v>
      </c>
      <c r="P670">
        <v>2013</v>
      </c>
    </row>
    <row r="671" spans="1:16" x14ac:dyDescent="0.25">
      <c r="A671" t="s">
        <v>23</v>
      </c>
      <c r="B671" t="s">
        <v>11</v>
      </c>
      <c r="C671" t="s">
        <v>13</v>
      </c>
      <c r="D671" t="s">
        <v>1</v>
      </c>
      <c r="E671">
        <v>260</v>
      </c>
      <c r="F671">
        <v>15</v>
      </c>
      <c r="G671">
        <v>28050</v>
      </c>
      <c r="H671">
        <v>3927</v>
      </c>
      <c r="I671" s="1">
        <v>24123</v>
      </c>
      <c r="J671">
        <v>18700</v>
      </c>
      <c r="K671" s="1">
        <v>5423</v>
      </c>
      <c r="L671" s="3">
        <f>(K671/I671)</f>
        <v>0.22480620155038761</v>
      </c>
      <c r="M671" s="2">
        <v>41579</v>
      </c>
      <c r="N671">
        <v>11</v>
      </c>
      <c r="O671" t="s">
        <v>25</v>
      </c>
      <c r="P671">
        <v>2013</v>
      </c>
    </row>
    <row r="672" spans="1:16" x14ac:dyDescent="0.25">
      <c r="A672" t="s">
        <v>20</v>
      </c>
      <c r="B672" t="s">
        <v>16</v>
      </c>
      <c r="C672" t="s">
        <v>28</v>
      </c>
      <c r="D672" t="s">
        <v>1</v>
      </c>
      <c r="E672">
        <v>3</v>
      </c>
      <c r="F672">
        <v>125</v>
      </c>
      <c r="G672">
        <v>146750</v>
      </c>
      <c r="H672">
        <v>22012.5</v>
      </c>
      <c r="I672" s="1">
        <v>124737.5</v>
      </c>
      <c r="J672">
        <v>140880</v>
      </c>
      <c r="K672" s="1">
        <v>-16142.5</v>
      </c>
      <c r="L672" s="3">
        <f>(K672/I672)</f>
        <v>-0.12941176470588237</v>
      </c>
      <c r="M672" s="2">
        <v>41852</v>
      </c>
      <c r="N672">
        <v>8</v>
      </c>
      <c r="O672" t="s">
        <v>24</v>
      </c>
      <c r="P672">
        <v>2014</v>
      </c>
    </row>
    <row r="673" spans="1:16" x14ac:dyDescent="0.25">
      <c r="A673" t="s">
        <v>20</v>
      </c>
      <c r="B673" t="s">
        <v>19</v>
      </c>
      <c r="C673" t="s">
        <v>28</v>
      </c>
      <c r="D673" t="s">
        <v>1</v>
      </c>
      <c r="E673">
        <v>3</v>
      </c>
      <c r="F673">
        <v>125</v>
      </c>
      <c r="G673">
        <v>345875</v>
      </c>
      <c r="H673">
        <v>51881.25</v>
      </c>
      <c r="I673" s="1">
        <v>293993.75</v>
      </c>
      <c r="J673">
        <v>332040</v>
      </c>
      <c r="K673" s="1">
        <v>-38046.25</v>
      </c>
      <c r="L673" s="3">
        <f>(K673/I673)</f>
        <v>-0.12941176470588237</v>
      </c>
      <c r="M673" s="2">
        <v>41852</v>
      </c>
      <c r="N673">
        <v>8</v>
      </c>
      <c r="O673" t="s">
        <v>22</v>
      </c>
      <c r="P673">
        <v>2014</v>
      </c>
    </row>
    <row r="674" spans="1:16" x14ac:dyDescent="0.25">
      <c r="A674" t="s">
        <v>20</v>
      </c>
      <c r="B674" t="s">
        <v>19</v>
      </c>
      <c r="C674" t="s">
        <v>28</v>
      </c>
      <c r="D674" t="s">
        <v>1</v>
      </c>
      <c r="E674">
        <v>3</v>
      </c>
      <c r="F674">
        <v>125</v>
      </c>
      <c r="G674">
        <v>135625</v>
      </c>
      <c r="H674">
        <v>20343.75</v>
      </c>
      <c r="I674" s="1">
        <v>115281.25</v>
      </c>
      <c r="J674">
        <v>130200</v>
      </c>
      <c r="K674" s="1">
        <v>-14918.75</v>
      </c>
      <c r="L674" s="3">
        <f>(K674/I674)</f>
        <v>-0.12941176470588237</v>
      </c>
      <c r="M674" s="2">
        <v>41913</v>
      </c>
      <c r="N674">
        <v>10</v>
      </c>
      <c r="O674" t="s">
        <v>21</v>
      </c>
      <c r="P674">
        <v>2014</v>
      </c>
    </row>
    <row r="675" spans="1:16" x14ac:dyDescent="0.25">
      <c r="A675" t="s">
        <v>14</v>
      </c>
      <c r="B675" t="s">
        <v>11</v>
      </c>
      <c r="C675" t="s">
        <v>10</v>
      </c>
      <c r="D675" t="s">
        <v>1</v>
      </c>
      <c r="E675">
        <v>5</v>
      </c>
      <c r="F675">
        <v>300</v>
      </c>
      <c r="G675">
        <v>163800</v>
      </c>
      <c r="H675">
        <v>24570</v>
      </c>
      <c r="I675" s="1">
        <v>139230</v>
      </c>
      <c r="J675">
        <v>136500</v>
      </c>
      <c r="K675" s="1">
        <v>2730</v>
      </c>
      <c r="L675" s="3">
        <f>(K675/I675)</f>
        <v>1.9607843137254902E-2</v>
      </c>
      <c r="M675" s="2">
        <v>41913</v>
      </c>
      <c r="N675">
        <v>10</v>
      </c>
      <c r="O675" t="s">
        <v>18</v>
      </c>
      <c r="P675">
        <v>2014</v>
      </c>
    </row>
    <row r="676" spans="1:16" x14ac:dyDescent="0.25">
      <c r="A676" t="s">
        <v>8</v>
      </c>
      <c r="B676" t="s">
        <v>19</v>
      </c>
      <c r="C676" t="s">
        <v>6</v>
      </c>
      <c r="D676" t="s">
        <v>1</v>
      </c>
      <c r="E676">
        <v>10</v>
      </c>
      <c r="F676">
        <v>20</v>
      </c>
      <c r="G676">
        <v>23160</v>
      </c>
      <c r="H676">
        <v>3474</v>
      </c>
      <c r="I676" s="1">
        <v>19686</v>
      </c>
      <c r="J676">
        <v>11580</v>
      </c>
      <c r="K676" s="1">
        <v>8106</v>
      </c>
      <c r="L676" s="3">
        <f>(K676/I676)</f>
        <v>0.41176470588235292</v>
      </c>
      <c r="M676" s="2">
        <v>41699</v>
      </c>
      <c r="N676">
        <v>3</v>
      </c>
      <c r="O676" t="s">
        <v>17</v>
      </c>
      <c r="P676">
        <v>2014</v>
      </c>
    </row>
    <row r="677" spans="1:16" x14ac:dyDescent="0.25">
      <c r="A677" t="s">
        <v>23</v>
      </c>
      <c r="B677" t="s">
        <v>7</v>
      </c>
      <c r="C677" t="s">
        <v>6</v>
      </c>
      <c r="D677" t="s">
        <v>1</v>
      </c>
      <c r="E677">
        <v>10</v>
      </c>
      <c r="F677">
        <v>15</v>
      </c>
      <c r="G677">
        <v>24210</v>
      </c>
      <c r="H677">
        <v>3631.5</v>
      </c>
      <c r="I677" s="1">
        <v>20578.5</v>
      </c>
      <c r="J677">
        <v>16140</v>
      </c>
      <c r="K677" s="1">
        <v>4438.5</v>
      </c>
      <c r="L677" s="3">
        <f>(K677/I677)</f>
        <v>0.21568627450980393</v>
      </c>
      <c r="M677" s="2">
        <v>41730</v>
      </c>
      <c r="N677">
        <v>4</v>
      </c>
      <c r="O677" t="s">
        <v>15</v>
      </c>
      <c r="P677">
        <v>2014</v>
      </c>
    </row>
    <row r="678" spans="1:16" x14ac:dyDescent="0.25">
      <c r="A678" t="s">
        <v>8</v>
      </c>
      <c r="B678" t="s">
        <v>11</v>
      </c>
      <c r="C678" t="s">
        <v>6</v>
      </c>
      <c r="D678" t="s">
        <v>1</v>
      </c>
      <c r="E678">
        <v>10</v>
      </c>
      <c r="F678">
        <v>7</v>
      </c>
      <c r="G678">
        <v>17745</v>
      </c>
      <c r="H678">
        <v>2661.75</v>
      </c>
      <c r="I678" s="1">
        <v>15083.25</v>
      </c>
      <c r="J678">
        <v>12675</v>
      </c>
      <c r="K678" s="1">
        <v>2408.25</v>
      </c>
      <c r="L678" s="3">
        <f>(K678/I678)</f>
        <v>0.15966386554621848</v>
      </c>
      <c r="M678" s="2">
        <v>41730</v>
      </c>
      <c r="N678">
        <v>4</v>
      </c>
      <c r="O678" t="s">
        <v>12</v>
      </c>
      <c r="P678">
        <v>2014</v>
      </c>
    </row>
    <row r="679" spans="1:16" x14ac:dyDescent="0.25">
      <c r="A679" t="s">
        <v>8</v>
      </c>
      <c r="B679" t="s">
        <v>11</v>
      </c>
      <c r="C679" t="s">
        <v>6</v>
      </c>
      <c r="D679" t="s">
        <v>1</v>
      </c>
      <c r="E679">
        <v>10</v>
      </c>
      <c r="F679">
        <v>350</v>
      </c>
      <c r="G679">
        <v>997850</v>
      </c>
      <c r="H679">
        <v>149677.5</v>
      </c>
      <c r="I679" s="1">
        <v>848172.5</v>
      </c>
      <c r="J679">
        <v>741260</v>
      </c>
      <c r="K679" s="1">
        <v>106912.5</v>
      </c>
      <c r="L679" s="3">
        <f>(K679/I679)</f>
        <v>0.12605042016806722</v>
      </c>
      <c r="M679" s="2">
        <v>41760</v>
      </c>
      <c r="N679">
        <v>5</v>
      </c>
      <c r="O679" t="s">
        <v>9</v>
      </c>
      <c r="P679">
        <v>2014</v>
      </c>
    </row>
    <row r="680" spans="1:16" x14ac:dyDescent="0.25">
      <c r="A680" t="s">
        <v>23</v>
      </c>
      <c r="B680" t="s">
        <v>7</v>
      </c>
      <c r="C680" t="s">
        <v>6</v>
      </c>
      <c r="D680" t="s">
        <v>1</v>
      </c>
      <c r="E680">
        <v>10</v>
      </c>
      <c r="F680">
        <v>15</v>
      </c>
      <c r="G680">
        <v>38385</v>
      </c>
      <c r="H680">
        <v>5757.75</v>
      </c>
      <c r="I680" s="1">
        <v>32627.25</v>
      </c>
      <c r="J680">
        <v>25590</v>
      </c>
      <c r="K680" s="1">
        <v>7037.25</v>
      </c>
      <c r="L680" s="3">
        <f>(K680/I680)</f>
        <v>0.21568627450980393</v>
      </c>
      <c r="M680" s="2">
        <v>41852</v>
      </c>
      <c r="N680">
        <v>8</v>
      </c>
      <c r="O680" t="s">
        <v>5</v>
      </c>
      <c r="P680">
        <v>2014</v>
      </c>
    </row>
    <row r="681" spans="1:16" x14ac:dyDescent="0.25">
      <c r="A681" t="s">
        <v>8</v>
      </c>
      <c r="B681" t="s">
        <v>3</v>
      </c>
      <c r="C681" t="s">
        <v>6</v>
      </c>
      <c r="D681" t="s">
        <v>1</v>
      </c>
      <c r="E681">
        <v>10</v>
      </c>
      <c r="F681">
        <v>20</v>
      </c>
      <c r="G681">
        <v>5340</v>
      </c>
      <c r="H681">
        <v>801</v>
      </c>
      <c r="I681" s="1">
        <v>4539</v>
      </c>
      <c r="J681">
        <v>2670</v>
      </c>
      <c r="K681" s="1">
        <v>1869</v>
      </c>
      <c r="L681" s="3">
        <f>(K681/I681)</f>
        <v>0.41176470588235292</v>
      </c>
      <c r="M681" s="2">
        <v>41548</v>
      </c>
      <c r="N681">
        <v>10</v>
      </c>
      <c r="O681" t="s">
        <v>0</v>
      </c>
      <c r="P681">
        <v>2013</v>
      </c>
    </row>
    <row r="682" spans="1:16" x14ac:dyDescent="0.25">
      <c r="A682" t="s">
        <v>20</v>
      </c>
      <c r="B682" t="s">
        <v>19</v>
      </c>
      <c r="C682" t="s">
        <v>6</v>
      </c>
      <c r="D682" t="s">
        <v>1</v>
      </c>
      <c r="E682">
        <v>10</v>
      </c>
      <c r="F682">
        <v>125</v>
      </c>
      <c r="G682">
        <v>135625</v>
      </c>
      <c r="H682">
        <v>20343.75</v>
      </c>
      <c r="I682" s="1">
        <v>115281.25</v>
      </c>
      <c r="J682">
        <v>130200</v>
      </c>
      <c r="K682" s="1">
        <v>-14918.75</v>
      </c>
      <c r="L682" s="3">
        <f>(K682/I682)</f>
        <v>-0.12941176470588237</v>
      </c>
      <c r="M682" s="2">
        <v>41913</v>
      </c>
      <c r="N682">
        <v>10</v>
      </c>
      <c r="O682" t="s">
        <v>26</v>
      </c>
      <c r="P682">
        <v>2014</v>
      </c>
    </row>
    <row r="683" spans="1:16" x14ac:dyDescent="0.25">
      <c r="A683" t="s">
        <v>23</v>
      </c>
      <c r="B683" t="s">
        <v>19</v>
      </c>
      <c r="C683" t="s">
        <v>6</v>
      </c>
      <c r="D683" t="s">
        <v>1</v>
      </c>
      <c r="E683">
        <v>10</v>
      </c>
      <c r="F683">
        <v>15</v>
      </c>
      <c r="G683">
        <v>17625</v>
      </c>
      <c r="H683">
        <v>2643.75</v>
      </c>
      <c r="I683" s="1">
        <v>14981.25</v>
      </c>
      <c r="J683">
        <v>11750</v>
      </c>
      <c r="K683" s="1">
        <v>3231.25</v>
      </c>
      <c r="L683" s="3">
        <f>(K683/I683)</f>
        <v>0.21568627450980393</v>
      </c>
      <c r="M683" s="2">
        <v>41913</v>
      </c>
      <c r="N683">
        <v>10</v>
      </c>
      <c r="O683" t="s">
        <v>25</v>
      </c>
      <c r="P683">
        <v>2014</v>
      </c>
    </row>
    <row r="684" spans="1:16" x14ac:dyDescent="0.25">
      <c r="A684" t="s">
        <v>8</v>
      </c>
      <c r="B684" t="s">
        <v>3</v>
      </c>
      <c r="C684" t="s">
        <v>6</v>
      </c>
      <c r="D684" t="s">
        <v>1</v>
      </c>
      <c r="E684">
        <v>10</v>
      </c>
      <c r="F684">
        <v>350</v>
      </c>
      <c r="G684">
        <v>702450</v>
      </c>
      <c r="H684">
        <v>105367.5</v>
      </c>
      <c r="I684" s="1">
        <v>597082.5</v>
      </c>
      <c r="J684">
        <v>521820</v>
      </c>
      <c r="K684" s="1">
        <v>75262.5</v>
      </c>
      <c r="L684" s="3">
        <f>(K684/I684)</f>
        <v>0.12605042016806722</v>
      </c>
      <c r="M684" s="2">
        <v>41579</v>
      </c>
      <c r="N684">
        <v>11</v>
      </c>
      <c r="O684" t="s">
        <v>24</v>
      </c>
      <c r="P684">
        <v>2013</v>
      </c>
    </row>
    <row r="685" spans="1:16" x14ac:dyDescent="0.25">
      <c r="A685" t="s">
        <v>8</v>
      </c>
      <c r="B685" t="s">
        <v>11</v>
      </c>
      <c r="C685" t="s">
        <v>6</v>
      </c>
      <c r="D685" t="s">
        <v>1</v>
      </c>
      <c r="E685">
        <v>10</v>
      </c>
      <c r="F685">
        <v>350</v>
      </c>
      <c r="G685">
        <v>752850</v>
      </c>
      <c r="H685">
        <v>112927.5</v>
      </c>
      <c r="I685" s="1">
        <v>639922.5</v>
      </c>
      <c r="J685">
        <v>559260</v>
      </c>
      <c r="K685" s="1">
        <v>80662.5</v>
      </c>
      <c r="L685" s="3">
        <f>(K685/I685)</f>
        <v>0.12605042016806722</v>
      </c>
      <c r="M685" s="2">
        <v>41579</v>
      </c>
      <c r="N685">
        <v>11</v>
      </c>
      <c r="O685" t="s">
        <v>22</v>
      </c>
      <c r="P685">
        <v>2013</v>
      </c>
    </row>
    <row r="686" spans="1:16" x14ac:dyDescent="0.25">
      <c r="A686" t="s">
        <v>4</v>
      </c>
      <c r="B686" t="s">
        <v>3</v>
      </c>
      <c r="C686" t="s">
        <v>6</v>
      </c>
      <c r="D686" t="s">
        <v>1</v>
      </c>
      <c r="E686">
        <v>10</v>
      </c>
      <c r="F686">
        <v>12</v>
      </c>
      <c r="G686">
        <v>10968</v>
      </c>
      <c r="H686">
        <v>1645.2</v>
      </c>
      <c r="I686" s="1">
        <v>9322.7999999999993</v>
      </c>
      <c r="J686">
        <v>2742</v>
      </c>
      <c r="K686" s="1">
        <v>6580.7999999999993</v>
      </c>
      <c r="L686" s="3">
        <f>(K686/I686)</f>
        <v>0.70588235294117641</v>
      </c>
      <c r="M686" s="2">
        <v>41974</v>
      </c>
      <c r="N686">
        <v>12</v>
      </c>
      <c r="O686" t="s">
        <v>21</v>
      </c>
      <c r="P686">
        <v>2014</v>
      </c>
    </row>
    <row r="687" spans="1:16" x14ac:dyDescent="0.25">
      <c r="A687" t="s">
        <v>8</v>
      </c>
      <c r="B687" t="s">
        <v>16</v>
      </c>
      <c r="C687" t="s">
        <v>6</v>
      </c>
      <c r="D687" t="s">
        <v>1</v>
      </c>
      <c r="E687">
        <v>10</v>
      </c>
      <c r="F687">
        <v>20</v>
      </c>
      <c r="G687">
        <v>5860</v>
      </c>
      <c r="H687">
        <v>879</v>
      </c>
      <c r="I687" s="1">
        <v>4981</v>
      </c>
      <c r="J687">
        <v>2930</v>
      </c>
      <c r="K687" s="1">
        <v>2051</v>
      </c>
      <c r="L687" s="3">
        <f>(K687/I687)</f>
        <v>0.41176470588235292</v>
      </c>
      <c r="M687" s="2">
        <v>41974</v>
      </c>
      <c r="N687">
        <v>12</v>
      </c>
      <c r="O687" t="s">
        <v>18</v>
      </c>
      <c r="P687">
        <v>2014</v>
      </c>
    </row>
    <row r="688" spans="1:16" x14ac:dyDescent="0.25">
      <c r="A688" t="s">
        <v>4</v>
      </c>
      <c r="B688" t="s">
        <v>11</v>
      </c>
      <c r="C688" t="s">
        <v>27</v>
      </c>
      <c r="D688" t="s">
        <v>1</v>
      </c>
      <c r="E688">
        <v>120</v>
      </c>
      <c r="F688">
        <v>12</v>
      </c>
      <c r="G688">
        <v>6000</v>
      </c>
      <c r="H688">
        <v>900</v>
      </c>
      <c r="I688" s="1">
        <v>5100</v>
      </c>
      <c r="J688">
        <v>1500</v>
      </c>
      <c r="K688" s="1">
        <v>3600</v>
      </c>
      <c r="L688" s="3">
        <f>(K688/I688)</f>
        <v>0.70588235294117652</v>
      </c>
      <c r="M688" s="2">
        <v>41699</v>
      </c>
      <c r="N688">
        <v>3</v>
      </c>
      <c r="O688" t="s">
        <v>17</v>
      </c>
      <c r="P688">
        <v>2014</v>
      </c>
    </row>
    <row r="689" spans="1:16" x14ac:dyDescent="0.25">
      <c r="A689" t="s">
        <v>23</v>
      </c>
      <c r="B689" t="s">
        <v>16</v>
      </c>
      <c r="C689" t="s">
        <v>27</v>
      </c>
      <c r="D689" t="s">
        <v>1</v>
      </c>
      <c r="E689">
        <v>120</v>
      </c>
      <c r="F689">
        <v>15</v>
      </c>
      <c r="G689">
        <v>42390</v>
      </c>
      <c r="H689">
        <v>6358.5</v>
      </c>
      <c r="I689" s="1">
        <v>36031.5</v>
      </c>
      <c r="J689">
        <v>28260</v>
      </c>
      <c r="K689" s="1">
        <v>7771.5</v>
      </c>
      <c r="L689" s="3">
        <f>(K689/I689)</f>
        <v>0.21568627450980393</v>
      </c>
      <c r="M689" s="2">
        <v>41760</v>
      </c>
      <c r="N689">
        <v>5</v>
      </c>
      <c r="O689" t="s">
        <v>15</v>
      </c>
      <c r="P689">
        <v>2014</v>
      </c>
    </row>
    <row r="690" spans="1:16" x14ac:dyDescent="0.25">
      <c r="A690" t="s">
        <v>20</v>
      </c>
      <c r="B690" t="s">
        <v>16</v>
      </c>
      <c r="C690" t="s">
        <v>27</v>
      </c>
      <c r="D690" t="s">
        <v>1</v>
      </c>
      <c r="E690">
        <v>120</v>
      </c>
      <c r="F690">
        <v>125</v>
      </c>
      <c r="G690">
        <v>82875</v>
      </c>
      <c r="H690">
        <v>12431.25</v>
      </c>
      <c r="I690" s="1">
        <v>70443.75</v>
      </c>
      <c r="J690">
        <v>79560</v>
      </c>
      <c r="K690" s="1">
        <v>-9116.25</v>
      </c>
      <c r="L690" s="3">
        <f>(K690/I690)</f>
        <v>-0.12941176470588237</v>
      </c>
      <c r="M690" s="2">
        <v>41883</v>
      </c>
      <c r="N690">
        <v>9</v>
      </c>
      <c r="O690" t="s">
        <v>12</v>
      </c>
      <c r="P690">
        <v>2014</v>
      </c>
    </row>
    <row r="691" spans="1:16" x14ac:dyDescent="0.25">
      <c r="A691" t="s">
        <v>14</v>
      </c>
      <c r="B691" t="s">
        <v>3</v>
      </c>
      <c r="C691" t="s">
        <v>27</v>
      </c>
      <c r="D691" t="s">
        <v>1</v>
      </c>
      <c r="E691">
        <v>120</v>
      </c>
      <c r="F691">
        <v>300</v>
      </c>
      <c r="G691">
        <v>772200</v>
      </c>
      <c r="H691">
        <v>115830</v>
      </c>
      <c r="I691" s="1">
        <v>656370</v>
      </c>
      <c r="J691">
        <v>643500</v>
      </c>
      <c r="K691" s="1">
        <v>12870</v>
      </c>
      <c r="L691" s="3">
        <f>(K691/I691)</f>
        <v>1.9607843137254902E-2</v>
      </c>
      <c r="M691" s="2">
        <v>41579</v>
      </c>
      <c r="N691">
        <v>11</v>
      </c>
      <c r="O691" t="s">
        <v>9</v>
      </c>
      <c r="P691">
        <v>2013</v>
      </c>
    </row>
    <row r="692" spans="1:16" x14ac:dyDescent="0.25">
      <c r="A692" t="s">
        <v>20</v>
      </c>
      <c r="B692" t="s">
        <v>3</v>
      </c>
      <c r="C692" t="s">
        <v>27</v>
      </c>
      <c r="D692" t="s">
        <v>1</v>
      </c>
      <c r="E692">
        <v>120</v>
      </c>
      <c r="F692">
        <v>125</v>
      </c>
      <c r="G692">
        <v>304750</v>
      </c>
      <c r="H692">
        <v>45712.5</v>
      </c>
      <c r="I692" s="1">
        <v>259037.5</v>
      </c>
      <c r="J692">
        <v>292560</v>
      </c>
      <c r="K692" s="1">
        <v>-33522.5</v>
      </c>
      <c r="L692" s="3">
        <f>(K692/I692)</f>
        <v>-0.12941176470588237</v>
      </c>
      <c r="M692" s="2">
        <v>41609</v>
      </c>
      <c r="N692">
        <v>12</v>
      </c>
      <c r="O692" t="s">
        <v>5</v>
      </c>
      <c r="P692">
        <v>2013</v>
      </c>
    </row>
    <row r="693" spans="1:16" x14ac:dyDescent="0.25">
      <c r="A693" t="s">
        <v>4</v>
      </c>
      <c r="B693" t="s">
        <v>3</v>
      </c>
      <c r="C693" t="s">
        <v>27</v>
      </c>
      <c r="D693" t="s">
        <v>1</v>
      </c>
      <c r="E693">
        <v>120</v>
      </c>
      <c r="F693">
        <v>12</v>
      </c>
      <c r="G693">
        <v>10968</v>
      </c>
      <c r="H693">
        <v>1645.2</v>
      </c>
      <c r="I693" s="1">
        <v>9322.7999999999993</v>
      </c>
      <c r="J693">
        <v>2742</v>
      </c>
      <c r="K693" s="1">
        <v>6580.7999999999993</v>
      </c>
      <c r="L693" s="3">
        <f>(K693/I693)</f>
        <v>0.70588235294117641</v>
      </c>
      <c r="M693" s="2">
        <v>41974</v>
      </c>
      <c r="N693">
        <v>12</v>
      </c>
      <c r="O693" t="s">
        <v>0</v>
      </c>
      <c r="P693">
        <v>2014</v>
      </c>
    </row>
    <row r="694" spans="1:16" x14ac:dyDescent="0.25">
      <c r="A694" t="s">
        <v>8</v>
      </c>
      <c r="B694" t="s">
        <v>7</v>
      </c>
      <c r="C694" t="s">
        <v>2</v>
      </c>
      <c r="D694" t="s">
        <v>1</v>
      </c>
      <c r="E694">
        <v>250</v>
      </c>
      <c r="F694">
        <v>20</v>
      </c>
      <c r="G694">
        <v>17310</v>
      </c>
      <c r="H694">
        <v>2596.5</v>
      </c>
      <c r="I694" s="1">
        <v>14713.5</v>
      </c>
      <c r="J694">
        <v>8655</v>
      </c>
      <c r="K694" s="1">
        <v>6058.5</v>
      </c>
      <c r="L694" s="3">
        <f>(K694/I694)</f>
        <v>0.41176470588235292</v>
      </c>
      <c r="M694" s="2">
        <v>41821</v>
      </c>
      <c r="N694">
        <v>7</v>
      </c>
      <c r="O694" t="s">
        <v>26</v>
      </c>
      <c r="P694">
        <v>2014</v>
      </c>
    </row>
    <row r="695" spans="1:16" x14ac:dyDescent="0.25">
      <c r="A695" t="s">
        <v>23</v>
      </c>
      <c r="B695" t="s">
        <v>19</v>
      </c>
      <c r="C695" t="s">
        <v>2</v>
      </c>
      <c r="D695" t="s">
        <v>1</v>
      </c>
      <c r="E695">
        <v>250</v>
      </c>
      <c r="F695">
        <v>15</v>
      </c>
      <c r="G695">
        <v>7380</v>
      </c>
      <c r="H695">
        <v>1107</v>
      </c>
      <c r="I695" s="1">
        <v>6273</v>
      </c>
      <c r="J695">
        <v>4920</v>
      </c>
      <c r="K695" s="1">
        <v>1353</v>
      </c>
      <c r="L695" s="3">
        <f>(K695/I695)</f>
        <v>0.21568627450980393</v>
      </c>
      <c r="M695" s="2">
        <v>41821</v>
      </c>
      <c r="N695">
        <v>7</v>
      </c>
      <c r="O695" t="s">
        <v>25</v>
      </c>
      <c r="P695">
        <v>2014</v>
      </c>
    </row>
    <row r="696" spans="1:16" x14ac:dyDescent="0.25">
      <c r="A696" t="s">
        <v>8</v>
      </c>
      <c r="B696" t="s">
        <v>3</v>
      </c>
      <c r="C696" t="s">
        <v>2</v>
      </c>
      <c r="D696" t="s">
        <v>1</v>
      </c>
      <c r="E696">
        <v>250</v>
      </c>
      <c r="F696">
        <v>20</v>
      </c>
      <c r="G696">
        <v>5340</v>
      </c>
      <c r="H696">
        <v>801</v>
      </c>
      <c r="I696" s="1">
        <v>4539</v>
      </c>
      <c r="J696">
        <v>2670</v>
      </c>
      <c r="K696" s="1">
        <v>1869</v>
      </c>
      <c r="L696" s="3">
        <f>(K696/I696)</f>
        <v>0.41176470588235292</v>
      </c>
      <c r="M696" s="2">
        <v>41548</v>
      </c>
      <c r="N696">
        <v>10</v>
      </c>
      <c r="O696" t="s">
        <v>24</v>
      </c>
      <c r="P696">
        <v>2013</v>
      </c>
    </row>
    <row r="697" spans="1:16" x14ac:dyDescent="0.25">
      <c r="A697" t="s">
        <v>23</v>
      </c>
      <c r="B697" t="s">
        <v>19</v>
      </c>
      <c r="C697" t="s">
        <v>2</v>
      </c>
      <c r="D697" t="s">
        <v>1</v>
      </c>
      <c r="E697">
        <v>250</v>
      </c>
      <c r="F697">
        <v>15</v>
      </c>
      <c r="G697">
        <v>17625</v>
      </c>
      <c r="H697">
        <v>2643.75</v>
      </c>
      <c r="I697" s="1">
        <v>14981.25</v>
      </c>
      <c r="J697">
        <v>11750</v>
      </c>
      <c r="K697" s="1">
        <v>3231.25</v>
      </c>
      <c r="L697" s="3">
        <f>(K697/I697)</f>
        <v>0.21568627450980393</v>
      </c>
      <c r="M697" s="2">
        <v>41913</v>
      </c>
      <c r="N697">
        <v>10</v>
      </c>
      <c r="O697" t="s">
        <v>22</v>
      </c>
      <c r="P697">
        <v>2014</v>
      </c>
    </row>
    <row r="698" spans="1:16" x14ac:dyDescent="0.25">
      <c r="A698" t="s">
        <v>20</v>
      </c>
      <c r="B698" t="s">
        <v>7</v>
      </c>
      <c r="C698" t="s">
        <v>2</v>
      </c>
      <c r="D698" t="s">
        <v>1</v>
      </c>
      <c r="E698">
        <v>250</v>
      </c>
      <c r="F698">
        <v>125</v>
      </c>
      <c r="G698">
        <v>369250</v>
      </c>
      <c r="H698">
        <v>55387.5</v>
      </c>
      <c r="I698" s="1">
        <v>313862.5</v>
      </c>
      <c r="J698">
        <v>354480</v>
      </c>
      <c r="K698" s="1">
        <v>-40617.5</v>
      </c>
      <c r="L698" s="3">
        <f>(K698/I698)</f>
        <v>-0.12941176470588237</v>
      </c>
      <c r="M698" s="2">
        <v>41579</v>
      </c>
      <c r="N698">
        <v>11</v>
      </c>
      <c r="O698" t="s">
        <v>21</v>
      </c>
      <c r="P698">
        <v>2013</v>
      </c>
    </row>
    <row r="699" spans="1:16" x14ac:dyDescent="0.25">
      <c r="A699" t="s">
        <v>20</v>
      </c>
      <c r="B699" t="s">
        <v>19</v>
      </c>
      <c r="C699" t="s">
        <v>2</v>
      </c>
      <c r="D699" t="s">
        <v>1</v>
      </c>
      <c r="E699">
        <v>250</v>
      </c>
      <c r="F699">
        <v>125</v>
      </c>
      <c r="G699">
        <v>69000</v>
      </c>
      <c r="H699">
        <v>10350</v>
      </c>
      <c r="I699" s="1">
        <v>58650</v>
      </c>
      <c r="J699">
        <v>66240</v>
      </c>
      <c r="K699" s="1">
        <v>-7590</v>
      </c>
      <c r="L699" s="3">
        <f>(K699/I699)</f>
        <v>-0.12941176470588237</v>
      </c>
      <c r="M699" s="2">
        <v>41944</v>
      </c>
      <c r="N699">
        <v>11</v>
      </c>
      <c r="O699" t="s">
        <v>18</v>
      </c>
      <c r="P699">
        <v>2014</v>
      </c>
    </row>
    <row r="700" spans="1:16" x14ac:dyDescent="0.25">
      <c r="A700" t="s">
        <v>8</v>
      </c>
      <c r="B700" t="s">
        <v>16</v>
      </c>
      <c r="C700" t="s">
        <v>2</v>
      </c>
      <c r="D700" t="s">
        <v>1</v>
      </c>
      <c r="E700">
        <v>250</v>
      </c>
      <c r="F700">
        <v>20</v>
      </c>
      <c r="G700">
        <v>5860</v>
      </c>
      <c r="H700">
        <v>879</v>
      </c>
      <c r="I700" s="1">
        <v>4981</v>
      </c>
      <c r="J700">
        <v>2930</v>
      </c>
      <c r="K700" s="1">
        <v>2051</v>
      </c>
      <c r="L700" s="3">
        <f>(K700/I700)</f>
        <v>0.41176470588235292</v>
      </c>
      <c r="M700" s="2">
        <v>41974</v>
      </c>
      <c r="N700">
        <v>12</v>
      </c>
      <c r="O700" t="s">
        <v>17</v>
      </c>
      <c r="P700">
        <v>2014</v>
      </c>
    </row>
    <row r="701" spans="1:16" x14ac:dyDescent="0.25">
      <c r="A701" t="s">
        <v>14</v>
      </c>
      <c r="B701" t="s">
        <v>16</v>
      </c>
      <c r="C701" t="s">
        <v>13</v>
      </c>
      <c r="D701" t="s">
        <v>1</v>
      </c>
      <c r="E701">
        <v>260</v>
      </c>
      <c r="F701">
        <v>300</v>
      </c>
      <c r="G701">
        <v>742500</v>
      </c>
      <c r="H701">
        <v>111375</v>
      </c>
      <c r="I701" s="1">
        <v>631125</v>
      </c>
      <c r="J701">
        <v>618750</v>
      </c>
      <c r="K701" s="1">
        <v>12375</v>
      </c>
      <c r="L701" s="3">
        <f>(K701/I701)</f>
        <v>1.9607843137254902E-2</v>
      </c>
      <c r="M701" s="2">
        <v>41699</v>
      </c>
      <c r="N701">
        <v>3</v>
      </c>
      <c r="O701" t="s">
        <v>15</v>
      </c>
      <c r="P701">
        <v>2014</v>
      </c>
    </row>
    <row r="702" spans="1:16" x14ac:dyDescent="0.25">
      <c r="A702" t="s">
        <v>14</v>
      </c>
      <c r="B702" t="s">
        <v>11</v>
      </c>
      <c r="C702" t="s">
        <v>13</v>
      </c>
      <c r="D702" t="s">
        <v>1</v>
      </c>
      <c r="E702">
        <v>260</v>
      </c>
      <c r="F702">
        <v>300</v>
      </c>
      <c r="G702">
        <v>163800</v>
      </c>
      <c r="H702">
        <v>24570</v>
      </c>
      <c r="I702" s="1">
        <v>139230</v>
      </c>
      <c r="J702">
        <v>136500</v>
      </c>
      <c r="K702" s="1">
        <v>2730</v>
      </c>
      <c r="L702" s="3">
        <f>(K702/I702)</f>
        <v>1.9607843137254902E-2</v>
      </c>
      <c r="M702" s="2">
        <v>41913</v>
      </c>
      <c r="N702">
        <v>10</v>
      </c>
      <c r="O702" t="s">
        <v>12</v>
      </c>
      <c r="P702">
        <v>2014</v>
      </c>
    </row>
    <row r="703" spans="1:16" x14ac:dyDescent="0.25">
      <c r="A703" t="s">
        <v>8</v>
      </c>
      <c r="B703" t="s">
        <v>11</v>
      </c>
      <c r="C703" t="s">
        <v>10</v>
      </c>
      <c r="D703" t="s">
        <v>1</v>
      </c>
      <c r="E703">
        <v>5</v>
      </c>
      <c r="F703">
        <v>7</v>
      </c>
      <c r="G703">
        <v>9576</v>
      </c>
      <c r="H703">
        <v>1436.4</v>
      </c>
      <c r="I703" s="1">
        <v>8139.6</v>
      </c>
      <c r="J703">
        <v>6840</v>
      </c>
      <c r="K703" s="1">
        <v>1299.6000000000004</v>
      </c>
      <c r="L703" s="3">
        <f>(K703/I703)</f>
        <v>0.15966386554621853</v>
      </c>
      <c r="M703" s="2">
        <v>41671</v>
      </c>
      <c r="N703">
        <v>2</v>
      </c>
      <c r="O703" t="s">
        <v>9</v>
      </c>
      <c r="P703">
        <v>2014</v>
      </c>
    </row>
    <row r="704" spans="1:16" x14ac:dyDescent="0.25">
      <c r="A704" t="s">
        <v>8</v>
      </c>
      <c r="B704" t="s">
        <v>7</v>
      </c>
      <c r="C704" t="s">
        <v>6</v>
      </c>
      <c r="D704" t="s">
        <v>1</v>
      </c>
      <c r="E704">
        <v>10</v>
      </c>
      <c r="F704">
        <v>7</v>
      </c>
      <c r="G704">
        <v>5061</v>
      </c>
      <c r="H704">
        <v>759.15000000000009</v>
      </c>
      <c r="I704" s="1">
        <v>4301.8500000000004</v>
      </c>
      <c r="J704">
        <v>3615</v>
      </c>
      <c r="K704" s="1">
        <v>686.85000000000014</v>
      </c>
      <c r="L704" s="3">
        <f>(K704/I704)</f>
        <v>0.1596638655462185</v>
      </c>
      <c r="M704" s="2">
        <v>41730</v>
      </c>
      <c r="N704">
        <v>4</v>
      </c>
      <c r="O704" t="s">
        <v>5</v>
      </c>
      <c r="P704">
        <v>2014</v>
      </c>
    </row>
    <row r="705" spans="1:16" x14ac:dyDescent="0.25">
      <c r="A705" t="s">
        <v>4</v>
      </c>
      <c r="B705" t="s">
        <v>3</v>
      </c>
      <c r="C705" t="s">
        <v>2</v>
      </c>
      <c r="D705" t="s">
        <v>1</v>
      </c>
      <c r="E705">
        <v>250</v>
      </c>
      <c r="F705">
        <v>12</v>
      </c>
      <c r="G705">
        <v>21672</v>
      </c>
      <c r="H705">
        <v>3250.8</v>
      </c>
      <c r="I705" s="1">
        <v>18421.2</v>
      </c>
      <c r="J705">
        <v>5418</v>
      </c>
      <c r="K705" s="1">
        <v>13003.2</v>
      </c>
      <c r="L705" s="3">
        <f>(K705/I705)</f>
        <v>0.70588235294117652</v>
      </c>
      <c r="M705" s="2">
        <v>41760</v>
      </c>
      <c r="N705">
        <v>5</v>
      </c>
      <c r="O705" t="s">
        <v>0</v>
      </c>
      <c r="P705">
        <v>2014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841FBC-51A6-468B-BB0A-96F0D0EA57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</dc:creator>
  <cp:lastModifiedBy>roshan kumar</cp:lastModifiedBy>
  <dcterms:created xsi:type="dcterms:W3CDTF">2026-07-31T12:46:54Z</dcterms:created>
  <dcterms:modified xsi:type="dcterms:W3CDTF">2026-07-31T12:48:09Z</dcterms:modified>
</cp:coreProperties>
</file>