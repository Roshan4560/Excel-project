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roshan\OneDrive\Desktop\Excel\seventh_project\"/>
    </mc:Choice>
  </mc:AlternateContent>
  <xr:revisionPtr revIDLastSave="0" documentId="8_{52C6C9B0-48A6-48F2-8B50-3D722B9A68C3}" xr6:coauthVersionLast="47" xr6:coauthVersionMax="47" xr10:uidLastSave="{00000000-0000-0000-0000-000000000000}"/>
  <bookViews>
    <workbookView xWindow="-120" yWindow="-120" windowWidth="24240" windowHeight="13020" tabRatio="656" xr2:uid="{00000000-000D-0000-FFFF-FFFF00000000}"/>
  </bookViews>
  <sheets>
    <sheet name="Raw Data" sheetId="1" r:id="rId1"/>
    <sheet name="Dashboard" sheetId="5" r:id="rId2"/>
    <sheet name="Time Analysis" sheetId="4" r:id="rId3"/>
    <sheet name="Customer Analysis" sheetId="3" r:id="rId4"/>
    <sheet name="Customer pivot" sheetId="11" r:id="rId5"/>
    <sheet name="Customer Dashboard" sheetId="10" r:id="rId6"/>
    <sheet name="Product Analysis" sheetId="2" r:id="rId7"/>
    <sheet name="Product pivot" sheetId="7" r:id="rId8"/>
    <sheet name="Product Dashboard" sheetId="8" r:id="rId9"/>
  </sheets>
  <definedNames>
    <definedName name="Slicer_Category">#N/A</definedName>
    <definedName name="Slicer_Category1">#N/A</definedName>
    <definedName name="Slicer_Months__OrderDate">#N/A</definedName>
    <definedName name="Slicer_Months__OrderDate1">#N/A</definedName>
    <definedName name="Slicer_Region">#N/A</definedName>
    <definedName name="Slicer_Segment">#N/A</definedName>
    <definedName name="Slicer_Segment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8" i="5" l="1"/>
  <c r="H4" i="5"/>
  <c r="E4" i="5"/>
  <c r="H8" i="5" s="1"/>
  <c r="B4" i="5"/>
  <c r="C25" i="4"/>
  <c r="D25" i="4" s="1"/>
  <c r="B25" i="4"/>
  <c r="C24" i="4"/>
  <c r="D24" i="4" s="1"/>
  <c r="B24" i="4"/>
  <c r="C23" i="4"/>
  <c r="D23" i="4" s="1"/>
  <c r="B23" i="4"/>
  <c r="C22" i="4"/>
  <c r="D22" i="4" s="1"/>
  <c r="B22" i="4"/>
  <c r="C21" i="4"/>
  <c r="D21" i="4" s="1"/>
  <c r="B21" i="4"/>
  <c r="D16" i="4"/>
  <c r="C16" i="4"/>
  <c r="B16"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F30" i="3"/>
  <c r="E30" i="3"/>
  <c r="F29" i="3"/>
  <c r="E29" i="3"/>
  <c r="F28" i="3"/>
  <c r="E28" i="3"/>
  <c r="F27" i="3"/>
  <c r="E27" i="3"/>
  <c r="F26" i="3"/>
  <c r="E26" i="3"/>
  <c r="F25" i="3"/>
  <c r="E25" i="3"/>
  <c r="F24" i="3"/>
  <c r="E24" i="3"/>
  <c r="F23" i="3"/>
  <c r="E23" i="3"/>
  <c r="F22" i="3"/>
  <c r="E22" i="3"/>
  <c r="F21" i="3"/>
  <c r="E21" i="3"/>
  <c r="E16" i="3"/>
  <c r="D16" i="3"/>
  <c r="C16" i="3"/>
  <c r="B16" i="3"/>
  <c r="E15" i="3"/>
  <c r="D15" i="3"/>
  <c r="C15" i="3"/>
  <c r="B15" i="3"/>
  <c r="E14" i="3"/>
  <c r="D14" i="3"/>
  <c r="C14" i="3"/>
  <c r="B14" i="3"/>
  <c r="E13" i="3"/>
  <c r="D13" i="3"/>
  <c r="C13" i="3"/>
  <c r="B13" i="3"/>
  <c r="E12" i="3"/>
  <c r="D12" i="3"/>
  <c r="C12" i="3"/>
  <c r="B12" i="3"/>
  <c r="E7" i="3"/>
  <c r="D7" i="3"/>
  <c r="C7" i="3"/>
  <c r="B7" i="3"/>
  <c r="E6" i="3"/>
  <c r="D6" i="3"/>
  <c r="C6" i="3"/>
  <c r="B6" i="3"/>
  <c r="E5" i="3"/>
  <c r="D5" i="3"/>
  <c r="C5" i="3"/>
  <c r="B5" i="3"/>
  <c r="F24" i="2"/>
  <c r="E24" i="2"/>
  <c r="D24" i="2"/>
  <c r="F23" i="2"/>
  <c r="E23" i="2"/>
  <c r="D23" i="2"/>
  <c r="F22" i="2"/>
  <c r="E22" i="2"/>
  <c r="D22" i="2"/>
  <c r="F21" i="2"/>
  <c r="E21" i="2"/>
  <c r="D21" i="2"/>
  <c r="F20" i="2"/>
  <c r="E20" i="2"/>
  <c r="D20" i="2"/>
  <c r="F19" i="2"/>
  <c r="E19" i="2"/>
  <c r="D19" i="2"/>
  <c r="F18" i="2"/>
  <c r="E18" i="2"/>
  <c r="D18" i="2"/>
  <c r="F17" i="2"/>
  <c r="E17" i="2"/>
  <c r="D17" i="2"/>
  <c r="F16" i="2"/>
  <c r="E16" i="2"/>
  <c r="D16" i="2"/>
  <c r="F15" i="2"/>
  <c r="E15" i="2"/>
  <c r="D15" i="2"/>
  <c r="F9" i="2"/>
  <c r="E9" i="2"/>
  <c r="C9" i="2"/>
  <c r="B9" i="2"/>
  <c r="F8" i="2"/>
  <c r="E8" i="2"/>
  <c r="C8" i="2"/>
  <c r="D8" i="2" s="1"/>
  <c r="B8" i="2"/>
  <c r="F7" i="2"/>
  <c r="E7" i="2"/>
  <c r="C7" i="2"/>
  <c r="B7" i="2"/>
  <c r="F6" i="2"/>
  <c r="E6" i="2"/>
  <c r="C6" i="2"/>
  <c r="B6" i="2"/>
  <c r="F5" i="2"/>
  <c r="E5" i="2"/>
  <c r="C5" i="2"/>
  <c r="B5" i="2"/>
  <c r="F6" i="3" l="1"/>
  <c r="G26" i="3"/>
  <c r="G7" i="2"/>
  <c r="D5" i="2"/>
  <c r="F7" i="3"/>
  <c r="F5" i="3"/>
  <c r="G6" i="2"/>
  <c r="G24" i="3"/>
  <c r="G30" i="3"/>
  <c r="B8" i="5"/>
  <c r="E10" i="2"/>
  <c r="G8" i="2"/>
  <c r="G21" i="3"/>
  <c r="G27" i="3"/>
  <c r="F10" i="2"/>
  <c r="G22" i="3"/>
  <c r="G28" i="3"/>
  <c r="G5" i="2"/>
  <c r="D6" i="2"/>
  <c r="D9" i="2"/>
  <c r="G23" i="3"/>
  <c r="G29" i="3"/>
  <c r="D7" i="2"/>
  <c r="G9" i="2"/>
  <c r="G25" i="3"/>
  <c r="C10" i="2"/>
  <c r="B10" i="2"/>
  <c r="G10" i="2" s="1"/>
  <c r="D10" i="2" l="1"/>
</calcChain>
</file>

<file path=xl/sharedStrings.xml><?xml version="1.0" encoding="utf-8"?>
<sst xmlns="http://schemas.openxmlformats.org/spreadsheetml/2006/main" count="4060" uniqueCount="772">
  <si>
    <t>OrderID</t>
  </si>
  <si>
    <t>OrderDate</t>
  </si>
  <si>
    <t>CustomerID</t>
  </si>
  <si>
    <t>CustomerName</t>
  </si>
  <si>
    <t>Segment</t>
  </si>
  <si>
    <t>Region</t>
  </si>
  <si>
    <t>ProductID</t>
  </si>
  <si>
    <t>ProductName</t>
  </si>
  <si>
    <t>Category</t>
  </si>
  <si>
    <t>Quantity</t>
  </si>
  <si>
    <t>UnitPrice</t>
  </si>
  <si>
    <t>Discount</t>
  </si>
  <si>
    <t>Sales</t>
  </si>
  <si>
    <t>Profit</t>
  </si>
  <si>
    <t>ShippingCost</t>
  </si>
  <si>
    <t>PaymentMethod</t>
  </si>
  <si>
    <t>ORD-1001</t>
  </si>
  <si>
    <t>CUST-0070</t>
  </si>
  <si>
    <t>Arjun Kapoor</t>
  </si>
  <si>
    <t>Consumer</t>
  </si>
  <si>
    <t>East</t>
  </si>
  <si>
    <t>ELE-06</t>
  </si>
  <si>
    <t>Noise Cancelling Headphones</t>
  </si>
  <si>
    <t>Electronics</t>
  </si>
  <si>
    <t>Credit Card</t>
  </si>
  <si>
    <t>ORD-1002</t>
  </si>
  <si>
    <t>CUST-0066</t>
  </si>
  <si>
    <t>Aadhya Mehta</t>
  </si>
  <si>
    <t>Home Office</t>
  </si>
  <si>
    <t>North</t>
  </si>
  <si>
    <t>ELE-03</t>
  </si>
  <si>
    <t>USB-C Charger</t>
  </si>
  <si>
    <t>Cash on Delivery</t>
  </si>
  <si>
    <t>ORD-1003</t>
  </si>
  <si>
    <t>CUST-0032</t>
  </si>
  <si>
    <t>Ayaan Kumar</t>
  </si>
  <si>
    <t>West</t>
  </si>
  <si>
    <t>HOM-10</t>
  </si>
  <si>
    <t>Table Lamp</t>
  </si>
  <si>
    <t>Home &amp; Kitchen</t>
  </si>
  <si>
    <t>UPI</t>
  </si>
  <si>
    <t>ORD-1004</t>
  </si>
  <si>
    <t>CUST-0027</t>
  </si>
  <si>
    <t>Ethan Khan</t>
  </si>
  <si>
    <t>OFF-04</t>
  </si>
  <si>
    <t>Ball Pen Box</t>
  </si>
  <si>
    <t>Office Supplies</t>
  </si>
  <si>
    <t>ORD-1005</t>
  </si>
  <si>
    <t>CUST-0002</t>
  </si>
  <si>
    <t>Ayaan Nair</t>
  </si>
  <si>
    <t>CLO-10</t>
  </si>
  <si>
    <t>Woolen Sweater</t>
  </si>
  <si>
    <t>Clothing</t>
  </si>
  <si>
    <t>ORD-1006</t>
  </si>
  <si>
    <t>CUST-0009</t>
  </si>
  <si>
    <t>Ananya Iyer</t>
  </si>
  <si>
    <t>South</t>
  </si>
  <si>
    <t>FUR-06</t>
  </si>
  <si>
    <t>Standing Desk</t>
  </si>
  <si>
    <t>Furniture</t>
  </si>
  <si>
    <t>ORD-1007</t>
  </si>
  <si>
    <t>HOM-05</t>
  </si>
  <si>
    <t>Water Bottle</t>
  </si>
  <si>
    <t>ORD-1008</t>
  </si>
  <si>
    <t>CUST-0020</t>
  </si>
  <si>
    <t>Diya Reddy</t>
  </si>
  <si>
    <t>OFF-05</t>
  </si>
  <si>
    <t>File Folder</t>
  </si>
  <si>
    <t>ORD-1009</t>
  </si>
  <si>
    <t>CUST-0063</t>
  </si>
  <si>
    <t>Pari Smith</t>
  </si>
  <si>
    <t>OFF-01</t>
  </si>
  <si>
    <t>A4 Paper Ream</t>
  </si>
  <si>
    <t>Debit Card</t>
  </si>
  <si>
    <t>ORD-1010</t>
  </si>
  <si>
    <t>CUST-0034</t>
  </si>
  <si>
    <t>James Patel</t>
  </si>
  <si>
    <t>FUR-08</t>
  </si>
  <si>
    <t>Bed Frame</t>
  </si>
  <si>
    <t>ORD-1011</t>
  </si>
  <si>
    <t>ORD-1012</t>
  </si>
  <si>
    <t>CUST-0046</t>
  </si>
  <si>
    <t>Myra Sharma</t>
  </si>
  <si>
    <t>FUR-04</t>
  </si>
  <si>
    <t>Bean Bag</t>
  </si>
  <si>
    <t>ORD-1013</t>
  </si>
  <si>
    <t>FUR-03</t>
  </si>
  <si>
    <t>Bookshelf</t>
  </si>
  <si>
    <t>Net Banking</t>
  </si>
  <si>
    <t>ORD-1014</t>
  </si>
  <si>
    <t>OFF-03</t>
  </si>
  <si>
    <t>Sticky Notes Pack</t>
  </si>
  <si>
    <t>ORD-1015</t>
  </si>
  <si>
    <t>CUST-0045</t>
  </si>
  <si>
    <t>Isabella Sharma</t>
  </si>
  <si>
    <t>ORD-1016</t>
  </si>
  <si>
    <t>HOM-07</t>
  </si>
  <si>
    <t>Air Fryer</t>
  </si>
  <si>
    <t>ORD-1017</t>
  </si>
  <si>
    <t>CUST-0075</t>
  </si>
  <si>
    <t>Myra Smith</t>
  </si>
  <si>
    <t>ORD-1018</t>
  </si>
  <si>
    <t>CUST-0015</t>
  </si>
  <si>
    <t>Ethan Chopra</t>
  </si>
  <si>
    <t>ORD-1019</t>
  </si>
  <si>
    <t>CUST-0026</t>
  </si>
  <si>
    <t>Krishna Gupta</t>
  </si>
  <si>
    <t>Central</t>
  </si>
  <si>
    <t>OFF-07</t>
  </si>
  <si>
    <t>Desk Organizer</t>
  </si>
  <si>
    <t>ORD-1020</t>
  </si>
  <si>
    <t>CUST-0065</t>
  </si>
  <si>
    <t>Vihaan Kapoor</t>
  </si>
  <si>
    <t>Corporate</t>
  </si>
  <si>
    <t>ORD-1021</t>
  </si>
  <si>
    <t>CUST-0023</t>
  </si>
  <si>
    <t>Saanvi Iyer</t>
  </si>
  <si>
    <t>ORD-1022</t>
  </si>
  <si>
    <t>CUST-0078</t>
  </si>
  <si>
    <t>Ishaan Kapoor</t>
  </si>
  <si>
    <t>OFF-08</t>
  </si>
  <si>
    <t>Printer Ink Cartridge</t>
  </si>
  <si>
    <t>ORD-1023</t>
  </si>
  <si>
    <t>CUST-0011</t>
  </si>
  <si>
    <t>Saanvi Singh</t>
  </si>
  <si>
    <t>OFF-09</t>
  </si>
  <si>
    <t>Highlighter Set</t>
  </si>
  <si>
    <t>ORD-1024</t>
  </si>
  <si>
    <t>CUST-0029</t>
  </si>
  <si>
    <t>Arjun Nair</t>
  </si>
  <si>
    <t>ORD-1025</t>
  </si>
  <si>
    <t>CUST-0054</t>
  </si>
  <si>
    <t>Liam Das</t>
  </si>
  <si>
    <t>HOM-04</t>
  </si>
  <si>
    <t>Dinner Set</t>
  </si>
  <si>
    <t>ORD-1026</t>
  </si>
  <si>
    <t>CUST-0055</t>
  </si>
  <si>
    <t>Kiara Johnson</t>
  </si>
  <si>
    <t>ORD-1027</t>
  </si>
  <si>
    <t>CUST-0018</t>
  </si>
  <si>
    <t>Sophia Singh</t>
  </si>
  <si>
    <t>CLO-09</t>
  </si>
  <si>
    <t>Track Pants</t>
  </si>
  <si>
    <t>ORD-1028</t>
  </si>
  <si>
    <t>HOM-08</t>
  </si>
  <si>
    <t>Storage Containers</t>
  </si>
  <si>
    <t>ORD-1029</t>
  </si>
  <si>
    <t>CUST-0067</t>
  </si>
  <si>
    <t>Emma Singh</t>
  </si>
  <si>
    <t>CLO-04</t>
  </si>
  <si>
    <t>Running Shoes</t>
  </si>
  <si>
    <t>ORD-1030</t>
  </si>
  <si>
    <t>ORD-1031</t>
  </si>
  <si>
    <t>CLO-07</t>
  </si>
  <si>
    <t>Leather Belt</t>
  </si>
  <si>
    <t>ORD-1032</t>
  </si>
  <si>
    <t>CUST-0074</t>
  </si>
  <si>
    <t>Isabella Nair</t>
  </si>
  <si>
    <t>CLO-08</t>
  </si>
  <si>
    <t>Casual Sneakers</t>
  </si>
  <si>
    <t>ORD-1033</t>
  </si>
  <si>
    <t>CUST-0069</t>
  </si>
  <si>
    <t>Reyansh Reddy</t>
  </si>
  <si>
    <t>ORD-1034</t>
  </si>
  <si>
    <t>CUST-0022</t>
  </si>
  <si>
    <t>Navya Nair</t>
  </si>
  <si>
    <t>CLO-03</t>
  </si>
  <si>
    <t>Denim Jeans</t>
  </si>
  <si>
    <t>ORD-1035</t>
  </si>
  <si>
    <t>ORD-1036</t>
  </si>
  <si>
    <t>CUST-0036</t>
  </si>
  <si>
    <t>Riya Mehta</t>
  </si>
  <si>
    <t>CLO-05</t>
  </si>
  <si>
    <t>Winter Jacket</t>
  </si>
  <si>
    <t>ORD-1037</t>
  </si>
  <si>
    <t>ELE-01</t>
  </si>
  <si>
    <t>Wireless Mouse</t>
  </si>
  <si>
    <t>ORD-1038</t>
  </si>
  <si>
    <t>CUST-0073</t>
  </si>
  <si>
    <t>James Brown</t>
  </si>
  <si>
    <t>ORD-1039</t>
  </si>
  <si>
    <t>CUST-0021</t>
  </si>
  <si>
    <t>Liam Gupta</t>
  </si>
  <si>
    <t>OFF-02</t>
  </si>
  <si>
    <t>Stapler</t>
  </si>
  <si>
    <t>ORD-1040</t>
  </si>
  <si>
    <t>ELE-10</t>
  </si>
  <si>
    <t>Router AC1200</t>
  </si>
  <si>
    <t>ORD-1041</t>
  </si>
  <si>
    <t>CUST-0016</t>
  </si>
  <si>
    <t>HOM-01</t>
  </si>
  <si>
    <t>Non-stick Pan</t>
  </si>
  <si>
    <t>ORD-1042</t>
  </si>
  <si>
    <t>CLO-02</t>
  </si>
  <si>
    <t>Formal Shirt</t>
  </si>
  <si>
    <t>ORD-1043</t>
  </si>
  <si>
    <t>OFF-10</t>
  </si>
  <si>
    <t>Notebook Pack</t>
  </si>
  <si>
    <t>ORD-1044</t>
  </si>
  <si>
    <t>CUST-0012</t>
  </si>
  <si>
    <t>Riya Iyer</t>
  </si>
  <si>
    <t>ORD-1045</t>
  </si>
  <si>
    <t>CUST-0024</t>
  </si>
  <si>
    <t>Ayaan Khan</t>
  </si>
  <si>
    <t>ORD-1046</t>
  </si>
  <si>
    <t>FUR-02</t>
  </si>
  <si>
    <t>Study Table</t>
  </si>
  <si>
    <t>ORD-1047</t>
  </si>
  <si>
    <t>CUST-0058</t>
  </si>
  <si>
    <t>Pari Nair</t>
  </si>
  <si>
    <t>ELE-02</t>
  </si>
  <si>
    <t>Bluetooth Speaker</t>
  </si>
  <si>
    <t>ORD-1048</t>
  </si>
  <si>
    <t>CUST-0071</t>
  </si>
  <si>
    <t>Kiara Nair</t>
  </si>
  <si>
    <t>HOM-06</t>
  </si>
  <si>
    <t>Vacuum Cleaner</t>
  </si>
  <si>
    <t>ORD-1049</t>
  </si>
  <si>
    <t>CUST-0030</t>
  </si>
  <si>
    <t>Navya Iyer</t>
  </si>
  <si>
    <t>ELE-04</t>
  </si>
  <si>
    <t>Laptop Stand</t>
  </si>
  <si>
    <t>ORD-1050</t>
  </si>
  <si>
    <t>HOM-09</t>
  </si>
  <si>
    <t>Bedsheet Set</t>
  </si>
  <si>
    <t>ORD-1051</t>
  </si>
  <si>
    <t>CUST-0039</t>
  </si>
  <si>
    <t>Vihaan Das</t>
  </si>
  <si>
    <t>ELE-09</t>
  </si>
  <si>
    <t>Mechanical Keyboard</t>
  </si>
  <si>
    <t>ORD-1052</t>
  </si>
  <si>
    <t>ORD-1053</t>
  </si>
  <si>
    <t>CUST-0062</t>
  </si>
  <si>
    <t>Reyansh Brown</t>
  </si>
  <si>
    <t>ORD-1054</t>
  </si>
  <si>
    <t>ORD-1055</t>
  </si>
  <si>
    <t>CUST-0049</t>
  </si>
  <si>
    <t>Olivia Smith</t>
  </si>
  <si>
    <t>ORD-1056</t>
  </si>
  <si>
    <t>FUR-05</t>
  </si>
  <si>
    <t>Filing Cabinet</t>
  </si>
  <si>
    <t>ORD-1057</t>
  </si>
  <si>
    <t>ORD-1058</t>
  </si>
  <si>
    <t>ORD-1059</t>
  </si>
  <si>
    <t>CUST-0019</t>
  </si>
  <si>
    <t>Kiara Chopra</t>
  </si>
  <si>
    <t>ORD-1060</t>
  </si>
  <si>
    <t>CUST-0060</t>
  </si>
  <si>
    <t>Ethan Verma</t>
  </si>
  <si>
    <t>ORD-1061</t>
  </si>
  <si>
    <t>CUST-0042</t>
  </si>
  <si>
    <t>Sophia Das</t>
  </si>
  <si>
    <t>ORD-1062</t>
  </si>
  <si>
    <t>CUST-0035</t>
  </si>
  <si>
    <t>Riya Gupta</t>
  </si>
  <si>
    <t>ORD-1063</t>
  </si>
  <si>
    <t>CUST-0056</t>
  </si>
  <si>
    <t>ORD-1064</t>
  </si>
  <si>
    <t>CUST-0053</t>
  </si>
  <si>
    <t>Isabella Brown</t>
  </si>
  <si>
    <t>ORD-1065</t>
  </si>
  <si>
    <t>ELE-07</t>
  </si>
  <si>
    <t>Power Bank 20000mAh</t>
  </si>
  <si>
    <t>ORD-1066</t>
  </si>
  <si>
    <t>CUST-0047</t>
  </si>
  <si>
    <t>Ethan Das</t>
  </si>
  <si>
    <t>ORD-1067</t>
  </si>
  <si>
    <t>CUST-0057</t>
  </si>
  <si>
    <t>Aarav Taylor</t>
  </si>
  <si>
    <t>ORD-1068</t>
  </si>
  <si>
    <t>ORD-1069</t>
  </si>
  <si>
    <t>ORD-1070</t>
  </si>
  <si>
    <t>ORD-1071</t>
  </si>
  <si>
    <t>ORD-1072</t>
  </si>
  <si>
    <t>ORD-1073</t>
  </si>
  <si>
    <t>CUST-0006</t>
  </si>
  <si>
    <t>Aarav Brown</t>
  </si>
  <si>
    <t>ORD-1074</t>
  </si>
  <si>
    <t>CUST-0064</t>
  </si>
  <si>
    <t>Ava Kapoor</t>
  </si>
  <si>
    <t>ORD-1075</t>
  </si>
  <si>
    <t>CUST-0059</t>
  </si>
  <si>
    <t>Liam Verma</t>
  </si>
  <si>
    <t>ORD-1076</t>
  </si>
  <si>
    <t>CUST-0080</t>
  </si>
  <si>
    <t>Ishaan Reddy</t>
  </si>
  <si>
    <t>ORD-1077</t>
  </si>
  <si>
    <t>ORD-1078</t>
  </si>
  <si>
    <t>CUST-0013</t>
  </si>
  <si>
    <t>Navya Singh</t>
  </si>
  <si>
    <t>ELE-08</t>
  </si>
  <si>
    <t>Smartwatch</t>
  </si>
  <si>
    <t>ORD-1079</t>
  </si>
  <si>
    <t>ORD-1080</t>
  </si>
  <si>
    <t>ORD-1081</t>
  </si>
  <si>
    <t>ORD-1082</t>
  </si>
  <si>
    <t>ORD-1083</t>
  </si>
  <si>
    <t>ORD-1084</t>
  </si>
  <si>
    <t>CUST-0007</t>
  </si>
  <si>
    <t>Aadhya Nair</t>
  </si>
  <si>
    <t>ORD-1085</t>
  </si>
  <si>
    <t>ORD-1086</t>
  </si>
  <si>
    <t>ORD-1087</t>
  </si>
  <si>
    <t>CUST-0033</t>
  </si>
  <si>
    <t>Aditya Verma</t>
  </si>
  <si>
    <t>ORD-1088</t>
  </si>
  <si>
    <t>CUST-0072</t>
  </si>
  <si>
    <t>Ava Brown</t>
  </si>
  <si>
    <t>ORD-1089</t>
  </si>
  <si>
    <t>CLO-06</t>
  </si>
  <si>
    <t>Sports Cap</t>
  </si>
  <si>
    <t>ORD-1090</t>
  </si>
  <si>
    <t>CUST-0079</t>
  </si>
  <si>
    <t>Emma Smith</t>
  </si>
  <si>
    <t>ORD-1091</t>
  </si>
  <si>
    <t>CUST-0005</t>
  </si>
  <si>
    <t>Reyansh Nair</t>
  </si>
  <si>
    <t>ORD-1092</t>
  </si>
  <si>
    <t>HOM-03</t>
  </si>
  <si>
    <t>Mixer Grinder</t>
  </si>
  <si>
    <t>ORD-1093</t>
  </si>
  <si>
    <t>ORD-1094</t>
  </si>
  <si>
    <t>ORD-1095</t>
  </si>
  <si>
    <t>CUST-0028</t>
  </si>
  <si>
    <t>Saanvi Mehta</t>
  </si>
  <si>
    <t>ORD-1096</t>
  </si>
  <si>
    <t>ORD-1097</t>
  </si>
  <si>
    <t>CUST-0017</t>
  </si>
  <si>
    <t>Noah Das</t>
  </si>
  <si>
    <t>ORD-1098</t>
  </si>
  <si>
    <t>CUST-0076</t>
  </si>
  <si>
    <t>ORD-1099</t>
  </si>
  <si>
    <t>CUST-0061</t>
  </si>
  <si>
    <t>Anika Nair</t>
  </si>
  <si>
    <t>ORD-1100</t>
  </si>
  <si>
    <t>CLO-01</t>
  </si>
  <si>
    <t>Cotton T-Shirt</t>
  </si>
  <si>
    <t>ORD-1101</t>
  </si>
  <si>
    <t>CUST-0010</t>
  </si>
  <si>
    <t>Noah Khan</t>
  </si>
  <si>
    <t>ORD-1102</t>
  </si>
  <si>
    <t>ORD-1103</t>
  </si>
  <si>
    <t>ORD-1104</t>
  </si>
  <si>
    <t>ORD-1105</t>
  </si>
  <si>
    <t>ORD-1106</t>
  </si>
  <si>
    <t>ORD-1107</t>
  </si>
  <si>
    <t>ORD-1108</t>
  </si>
  <si>
    <t>ORD-1109</t>
  </si>
  <si>
    <t>CUST-0040</t>
  </si>
  <si>
    <t>Kiara Sharma</t>
  </si>
  <si>
    <t>OFF-06</t>
  </si>
  <si>
    <t>Whiteboard Marker</t>
  </si>
  <si>
    <t>ORD-1110</t>
  </si>
  <si>
    <t>ORD-1111</t>
  </si>
  <si>
    <t>CUST-0077</t>
  </si>
  <si>
    <t>Aarav Malhotra</t>
  </si>
  <si>
    <t>ORD-1112</t>
  </si>
  <si>
    <t>ORD-1113</t>
  </si>
  <si>
    <t>ORD-1114</t>
  </si>
  <si>
    <t>ORD-1115</t>
  </si>
  <si>
    <t>ORD-1116</t>
  </si>
  <si>
    <t>ORD-1117</t>
  </si>
  <si>
    <t>ORD-1118</t>
  </si>
  <si>
    <t>ORD-1119</t>
  </si>
  <si>
    <t>ORD-1120</t>
  </si>
  <si>
    <t>ORD-1121</t>
  </si>
  <si>
    <t>ORD-1122</t>
  </si>
  <si>
    <t>CUST-0041</t>
  </si>
  <si>
    <t>Anika Patel</t>
  </si>
  <si>
    <t>ORD-1123</t>
  </si>
  <si>
    <t>ELE-05</t>
  </si>
  <si>
    <t>Webcam HD</t>
  </si>
  <si>
    <t>ORD-1124</t>
  </si>
  <si>
    <t>ORD-1125</t>
  </si>
  <si>
    <t>CUST-0025</t>
  </si>
  <si>
    <t>William Verma</t>
  </si>
  <si>
    <t>ORD-1126</t>
  </si>
  <si>
    <t>ORD-1127</t>
  </si>
  <si>
    <t>CUST-0048</t>
  </si>
  <si>
    <t>Ayaan Taylor</t>
  </si>
  <si>
    <t>ORD-1128</t>
  </si>
  <si>
    <t>CUST-0043</t>
  </si>
  <si>
    <t>Riya Reddy</t>
  </si>
  <si>
    <t>ORD-1129</t>
  </si>
  <si>
    <t>ORD-1130</t>
  </si>
  <si>
    <t>HOM-02</t>
  </si>
  <si>
    <t>Electric Kettle</t>
  </si>
  <si>
    <t>ORD-1131</t>
  </si>
  <si>
    <t>ORD-1132</t>
  </si>
  <si>
    <t>ORD-1133</t>
  </si>
  <si>
    <t>ORD-1134</t>
  </si>
  <si>
    <t>ORD-1135</t>
  </si>
  <si>
    <t>ORD-1136</t>
  </si>
  <si>
    <t>ORD-1137</t>
  </si>
  <si>
    <t>ORD-1138</t>
  </si>
  <si>
    <t>ORD-1139</t>
  </si>
  <si>
    <t>ORD-1140</t>
  </si>
  <si>
    <t>CUST-0004</t>
  </si>
  <si>
    <t>Aadhya Verma</t>
  </si>
  <si>
    <t>ORD-1141</t>
  </si>
  <si>
    <t>ORD-1142</t>
  </si>
  <si>
    <t>ORD-1143</t>
  </si>
  <si>
    <t>ORD-1144</t>
  </si>
  <si>
    <t>CUST-0038</t>
  </si>
  <si>
    <t>Emma Brown</t>
  </si>
  <si>
    <t>ORD-1145</t>
  </si>
  <si>
    <t>ORD-1146</t>
  </si>
  <si>
    <t>ORD-1147</t>
  </si>
  <si>
    <t>ORD-1148</t>
  </si>
  <si>
    <t>ORD-1149</t>
  </si>
  <si>
    <t>ORD-1150</t>
  </si>
  <si>
    <t>CUST-0037</t>
  </si>
  <si>
    <t>Navya Sharma</t>
  </si>
  <si>
    <t>ORD-1151</t>
  </si>
  <si>
    <t>CUST-0050</t>
  </si>
  <si>
    <t>Noah Kumar</t>
  </si>
  <si>
    <t>ORD-1152</t>
  </si>
  <si>
    <t>ORD-1153</t>
  </si>
  <si>
    <t>ORD-1154</t>
  </si>
  <si>
    <t>ORD-1155</t>
  </si>
  <si>
    <t>FUR-10</t>
  </si>
  <si>
    <t>Coffee Table</t>
  </si>
  <si>
    <t>ORD-1156</t>
  </si>
  <si>
    <t>ORD-1157</t>
  </si>
  <si>
    <t>ORD-1158</t>
  </si>
  <si>
    <t>ORD-1159</t>
  </si>
  <si>
    <t>ORD-1160</t>
  </si>
  <si>
    <t>ORD-1161</t>
  </si>
  <si>
    <t>ORD-1162</t>
  </si>
  <si>
    <t>ORD-1163</t>
  </si>
  <si>
    <t>CUST-0068</t>
  </si>
  <si>
    <t>Olivia Khan</t>
  </si>
  <si>
    <t>ORD-1164</t>
  </si>
  <si>
    <t>FUR-09</t>
  </si>
  <si>
    <t>Wardrobe</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</si>
  <si>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</si>
  <si>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</si>
  <si>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</si>
  <si>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</si>
  <si>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</si>
  <si>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</si>
  <si>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</si>
  <si>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</si>
  <si>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</si>
  <si>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</si>
  <si>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</si>
  <si>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</si>
  <si>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</si>
  <si>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</si>
  <si>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</si>
  <si>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</si>
  <si>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</si>
  <si>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</si>
  <si>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</si>
  <si>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</si>
  <si>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</si>
  <si>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</si>
  <si>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</si>
  <si>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</si>
  <si>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</si>
  <si>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</si>
  <si>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</si>
  <si>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</si>
  <si>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</si>
  <si>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</si>
  <si>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</si>
  <si>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FUR-07</t>
  </si>
  <si>
    <t>Sofa Cover</t>
  </si>
  <si>
    <t>ORD-1196</t>
  </si>
  <si>
    <t>ORD-1197</t>
  </si>
  <si>
    <t>ORD-1198</t>
  </si>
  <si>
    <t>FUR-01</t>
  </si>
  <si>
    <t>Office Chair</t>
  </si>
  <si>
    <t>ORD-1199</t>
  </si>
  <si>
    <t>ORD-1200</t>
  </si>
  <si>
    <t>CUST-0001</t>
  </si>
  <si>
    <t>James Singh</t>
  </si>
  <si>
    <t>ORD-1201</t>
  </si>
  <si>
    <t>ORD-1202</t>
  </si>
  <si>
    <t>ORD-1203</t>
  </si>
  <si>
    <t>ORD-1204</t>
  </si>
  <si>
    <t>ORD-1205</t>
  </si>
  <si>
    <t>ORD-1206</t>
  </si>
  <si>
    <t>ORD-1207</t>
  </si>
  <si>
    <t>ORD-1208</t>
  </si>
  <si>
    <t>ORD-1209</t>
  </si>
  <si>
    <t>ORD-1210</t>
  </si>
  <si>
    <t>ORD-1211</t>
  </si>
  <si>
    <t>ORD-1212</t>
  </si>
  <si>
    <t>ORD-1213</t>
  </si>
  <si>
    <t>ORD-1214</t>
  </si>
  <si>
    <t>ORD-1215</t>
  </si>
  <si>
    <t>ORD-1216</t>
  </si>
  <si>
    <t>CUST-0008</t>
  </si>
  <si>
    <t>Krishna Sharma</t>
  </si>
  <si>
    <t>ORD-1217</t>
  </si>
  <si>
    <t>ORD-1218</t>
  </si>
  <si>
    <t>ORD-1219</t>
  </si>
  <si>
    <t>ORD-1220</t>
  </si>
  <si>
    <t>ORD-1221</t>
  </si>
  <si>
    <t>ORD-1222</t>
  </si>
  <si>
    <t>ORD-1223</t>
  </si>
  <si>
    <t>ORD-1224</t>
  </si>
  <si>
    <t>ORD-1225</t>
  </si>
  <si>
    <t>ORD-1226</t>
  </si>
  <si>
    <t>ORD-1227</t>
  </si>
  <si>
    <t>ORD-1228</t>
  </si>
  <si>
    <t>ORD-1229</t>
  </si>
  <si>
    <t>ORD-1230</t>
  </si>
  <si>
    <t>CUST-0003</t>
  </si>
  <si>
    <t>ORD-1231</t>
  </si>
  <si>
    <t>ORD-1232</t>
  </si>
  <si>
    <t>ORD-1233</t>
  </si>
  <si>
    <t>ORD-1234</t>
  </si>
  <si>
    <t>ORD-1235</t>
  </si>
  <si>
    <t>ORD-1236</t>
  </si>
  <si>
    <t>ORD-1237</t>
  </si>
  <si>
    <t>ORD-1238</t>
  </si>
  <si>
    <t>ORD-1239</t>
  </si>
  <si>
    <t>CUST-0044</t>
  </si>
  <si>
    <t>Noah Patel</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</si>
  <si>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</si>
  <si>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</si>
  <si>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</si>
  <si>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</si>
  <si>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</si>
  <si>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</si>
  <si>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</si>
  <si>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</si>
  <si>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</si>
  <si>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</si>
  <si>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</si>
  <si>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</si>
  <si>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</si>
  <si>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</si>
  <si>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</si>
  <si>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</si>
  <si>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</si>
  <si>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CUST-0014</t>
  </si>
  <si>
    <t>Navya Das</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</si>
  <si>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</si>
  <si>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</si>
  <si>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</si>
  <si>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</si>
  <si>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</si>
  <si>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</si>
  <si>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</si>
  <si>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</si>
  <si>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</si>
  <si>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</si>
  <si>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</si>
  <si>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</si>
  <si>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</si>
  <si>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</si>
  <si>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</si>
  <si>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</si>
  <si>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</si>
  <si>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</si>
  <si>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</si>
  <si>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</si>
  <si>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</si>
  <si>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</si>
  <si>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</si>
  <si>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CUST-0052</t>
  </si>
  <si>
    <t>Sophia Wilson</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</si>
  <si>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</si>
  <si>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</si>
  <si>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</si>
  <si>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</si>
  <si>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</si>
  <si>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</si>
  <si>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</si>
  <si>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</si>
  <si>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</si>
  <si>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</si>
  <si>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</si>
  <si>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</si>
  <si>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</si>
  <si>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</si>
  <si>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</si>
  <si>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</si>
  <si>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</si>
  <si>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</si>
  <si>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</si>
  <si>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</si>
  <si>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</si>
  <si>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</si>
  <si>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</si>
  <si>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</si>
  <si>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</si>
  <si>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</si>
  <si>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</si>
  <si>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</si>
  <si>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</si>
  <si>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</si>
  <si>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</si>
  <si>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</si>
  <si>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CUST-0031</t>
  </si>
  <si>
    <t>Aadhya Taylor</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</si>
  <si>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</si>
  <si>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</si>
  <si>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</si>
  <si>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</si>
  <si>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</si>
  <si>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</si>
  <si>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</si>
  <si>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</si>
  <si>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</si>
  <si>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</si>
  <si>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</si>
  <si>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</si>
  <si>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</si>
  <si>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</si>
  <si>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</si>
  <si>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</si>
  <si>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</si>
  <si>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</si>
  <si>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</si>
  <si>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</si>
  <si>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</si>
  <si>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</si>
  <si>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CUST-0051</t>
  </si>
  <si>
    <t>Navya Patel</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</si>
  <si>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</si>
  <si>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</si>
  <si>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</si>
  <si>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</si>
  <si>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</si>
  <si>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</si>
  <si>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</si>
  <si>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</si>
  <si>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</si>
  <si>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</si>
  <si>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</si>
  <si>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</si>
  <si>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</si>
  <si>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</si>
  <si>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</si>
  <si>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</si>
  <si>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</si>
  <si>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</si>
  <si>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</si>
  <si>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</si>
  <si>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</si>
  <si>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</si>
  <si>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</si>
  <si>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</si>
  <si>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</si>
  <si>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</si>
  <si>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</si>
  <si>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</si>
  <si>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</si>
  <si>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</si>
  <si>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</si>
  <si>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</si>
  <si>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</si>
  <si>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</si>
  <si>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</si>
  <si>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</si>
  <si>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</si>
  <si>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</si>
  <si>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</si>
  <si>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</si>
  <si>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</si>
  <si>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</si>
  <si>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</si>
  <si>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</si>
  <si>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</si>
  <si>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</si>
  <si>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</si>
  <si>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</si>
  <si>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</si>
  <si>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</si>
  <si>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</si>
  <si>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</si>
  <si>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</si>
  <si>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</si>
  <si>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</si>
  <si>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</si>
  <si>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</si>
  <si>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</si>
  <si>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</si>
  <si>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</si>
  <si>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</si>
  <si>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</si>
  <si>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</si>
  <si>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</si>
  <si>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</si>
  <si>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</si>
  <si>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</si>
  <si>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</si>
  <si>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</si>
  <si>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</si>
  <si>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</si>
  <si>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</si>
  <si>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</si>
  <si>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</si>
  <si>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</si>
  <si>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</si>
  <si>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</si>
  <si>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</si>
  <si>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</si>
  <si>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</si>
  <si>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</si>
  <si>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</si>
  <si>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</si>
  <si>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</si>
  <si>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</si>
  <si>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</si>
  <si>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</si>
  <si>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PRODUCT-BASED ANALYSIS</t>
  </si>
  <si>
    <t>Category Summary</t>
  </si>
  <si>
    <t>Total Sales</t>
  </si>
  <si>
    <t>Total Profit</t>
  </si>
  <si>
    <t>Profit Margin %</t>
  </si>
  <si>
    <t>Units Sold</t>
  </si>
  <si>
    <t>Order Count</t>
  </si>
  <si>
    <t>Avg Order Value</t>
  </si>
  <si>
    <t>TOTAL</t>
  </si>
  <si>
    <t>Top 10 Products by Sales</t>
  </si>
  <si>
    <t>Rank</t>
  </si>
  <si>
    <t>Product Name</t>
  </si>
  <si>
    <t>CUSTOMER-BASED ANALYSIS</t>
  </si>
  <si>
    <t>Segment Summary</t>
  </si>
  <si>
    <t>Unique Customers</t>
  </si>
  <si>
    <t>Region Summary</t>
  </si>
  <si>
    <t>Avg Discount %</t>
  </si>
  <si>
    <t>Top 10 Customers by Sales</t>
  </si>
  <si>
    <t>Customer Name</t>
  </si>
  <si>
    <t>Orders Placed</t>
  </si>
  <si>
    <t>TIME &amp; PAYMENT ANALYSIS</t>
  </si>
  <si>
    <t>Monthly Sales Trend (2024)</t>
  </si>
  <si>
    <t>Month</t>
  </si>
  <si>
    <t>Jan-2024</t>
  </si>
  <si>
    <t>Feb-2024</t>
  </si>
  <si>
    <t>Mar-2024</t>
  </si>
  <si>
    <t>Apr-2024</t>
  </si>
  <si>
    <t>May-2024</t>
  </si>
  <si>
    <t>Jun-2024</t>
  </si>
  <si>
    <t>Jul-2024</t>
  </si>
  <si>
    <t>Aug-2024</t>
  </si>
  <si>
    <t>Sep-2024</t>
  </si>
  <si>
    <t>Oct-2024</t>
  </si>
  <si>
    <t>Nov-2024</t>
  </si>
  <si>
    <t>Dec-2024</t>
  </si>
  <si>
    <t>Payment Method Summary</t>
  </si>
  <si>
    <t>Payment Method</t>
  </si>
  <si>
    <t>% of Total Orders</t>
  </si>
  <si>
    <t>SALES PERFORMANCE DASHBOARD — FY2024</t>
  </si>
  <si>
    <t>Total Orders</t>
  </si>
  <si>
    <t>Charts below are built from the Product Analysis, Customer Analysis, and Time Analysis sheets.</t>
  </si>
  <si>
    <t>Row Labels</t>
  </si>
  <si>
    <t>Sum of Sales</t>
  </si>
  <si>
    <t>Sum of Profit</t>
  </si>
  <si>
    <t>Sum of Quantity</t>
  </si>
  <si>
    <t>Sum of ShippingCost</t>
  </si>
  <si>
    <t>Column Labels</t>
  </si>
  <si>
    <t>Count of Segment</t>
  </si>
  <si>
    <t>Jan</t>
  </si>
  <si>
    <t>Feb</t>
  </si>
  <si>
    <t>Mar</t>
  </si>
  <si>
    <t>Apr</t>
  </si>
  <si>
    <t>May</t>
  </si>
  <si>
    <t>Jun</t>
  </si>
  <si>
    <t>Jul</t>
  </si>
  <si>
    <t>Aug</t>
  </si>
  <si>
    <t>Sep</t>
  </si>
  <si>
    <t>Oct</t>
  </si>
  <si>
    <t>Nov</t>
  </si>
  <si>
    <t>Dec</t>
  </si>
  <si>
    <t>Count of Category</t>
  </si>
  <si>
    <t>Count of CustomerName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</si>
</sst>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
    <numFmt numFmtId="166" formatCode="0.0%"/>
  </numFmts>
  <fonts count="11" x14ac:knownFonts="1">
    <font>
      <sz val="11"/>
      <color theme="1"/>
      <name val="Calibri"/>
      <family val="2"/>
      <charset val="1"/>
    </font>
    <font>
      <b/>
      <sz val="11"/>
      <color rgb="FFFFFFFF"/>
      <name val="Arial"/>
      <charset val="1"/>
    </font>
    <font>
      <sz val="10"/>
      <name val="Arial"/>
      <charset val="1"/>
    </font>
    <font>
      <b/>
      <sz val="16"/>
      <color rgb="FFFFFFFF"/>
      <name val="Arial"/>
      <charset val="1"/>
    </font>
    <font>
      <b/>
      <sz val="13"/>
      <color rgb="FF1F4E78"/>
      <name val="Arial"/>
      <charset val="1"/>
    </font>
    <font>
      <b/>
      <sz val="11"/>
      <color rgb="FF1F4E78"/>
      <name val="Arial"/>
      <charset val="1"/>
    </font>
    <font>
      <b/>
      <sz val="10"/>
      <name val="Arial"/>
      <charset val="1"/>
    </font>
    <font>
      <b/>
      <sz val="10"/>
      <color rgb="FF1F4E78"/>
      <name val="Arial"/>
      <charset val="1"/>
    </font>
    <font>
      <b/>
      <sz val="18"/>
      <color rgb="FF1F4E78"/>
      <name val="Arial"/>
      <charset val="1"/>
    </font>
    <font>
      <i/>
      <sz val="9"/>
      <color rgb="FF808080"/>
      <name val="Arial"/>
      <charset val="1"/>
    </font>
    <font>
      <b/>
      <sz val="11"/>
      <color theme="1"/>
      <name val="Calibri"/>
      <family val="2"/>
      <charset val="1"/>
    </font>
  </fonts>
  <fills count="7">
    <fill>
      <patternFill patternType="none"/>
    </fill>
    <fill>
      <patternFill patternType="gray125"/>
    </fill>
    <fill>
      <patternFill patternType="solid">
        <fgColor rgb="FF2E75B6"/>
        <bgColor rgb="FF4F81BD"/>
      </patternFill>
    </fill>
    <fill>
      <patternFill patternType="solid">
        <fgColor rgb="FF1F4E78"/>
        <bgColor rgb="FF003366"/>
      </patternFill>
    </fill>
    <fill>
      <patternFill patternType="solid">
        <fgColor rgb="FFD9E1F2"/>
        <bgColor rgb="FFD9D9D9"/>
      </patternFill>
    </fill>
    <fill>
      <patternFill patternType="solid">
        <fgColor rgb="FFF2F2F2"/>
        <bgColor rgb="FFF9F9F9"/>
      </patternFill>
    </fill>
    <fill>
      <patternFill patternType="solid">
        <fgColor theme="4" tint="0.79998168889431442"/>
        <bgColor theme="4" tint="0.79998168889431442"/>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style="thin">
        <color theme="4" tint="0.39997558519241921"/>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0" fontId="4" fillId="0" borderId="0" xfId="0" applyFont="1"/>
    <xf numFmtId="0" fontId="5" fillId="4" borderId="1" xfId="0" applyFont="1" applyFill="1" applyBorder="1" applyAlignment="1">
      <alignment horizontal="center" vertical="center"/>
    </xf>
    <xf numFmtId="0" fontId="6" fillId="5" borderId="1" xfId="0" applyFont="1" applyFill="1" applyBorder="1"/>
    <xf numFmtId="165" fontId="6" fillId="5" borderId="1" xfId="0" applyNumberFormat="1" applyFont="1" applyFill="1" applyBorder="1"/>
    <xf numFmtId="166" fontId="6" fillId="5" borderId="1" xfId="0" applyNumberFormat="1" applyFont="1" applyFill="1" applyBorder="1"/>
    <xf numFmtId="0" fontId="9" fillId="0" borderId="0" xfId="0" applyFont="1"/>
    <xf numFmtId="0" fontId="0" fillId="0" borderId="0" xfId="0" pivotButton="1"/>
    <xf numFmtId="0" fontId="0" fillId="0" borderId="0" xfId="0" applyAlignment="1">
      <alignment horizontal="left"/>
    </xf>
    <xf numFmtId="165" fontId="0" fillId="0" borderId="0" xfId="0" applyNumberFormat="1"/>
    <xf numFmtId="0" fontId="10" fillId="6" borderId="2" xfId="0" applyFont="1" applyFill="1" applyBorder="1"/>
    <xf numFmtId="0" fontId="0" fillId="0" borderId="0" xfId="0" applyAlignment="1">
      <alignment horizontal="left" indent="1"/>
    </xf>
    <xf numFmtId="0" fontId="7" fillId="4" borderId="1" xfId="0" applyFont="1" applyFill="1" applyBorder="1" applyAlignment="1">
      <alignment horizontal="center" vertical="center"/>
    </xf>
    <xf numFmtId="165" fontId="8" fillId="5" borderId="1" xfId="0" applyNumberFormat="1" applyFont="1" applyFill="1" applyBorder="1" applyAlignment="1">
      <alignment horizontal="center" vertical="center"/>
    </xf>
    <xf numFmtId="3" fontId="8" fillId="5" borderId="1" xfId="0" applyNumberFormat="1" applyFont="1" applyFill="1" applyBorder="1" applyAlignment="1">
      <alignment horizontal="center" vertical="center"/>
    </xf>
    <xf numFmtId="166" fontId="8" fillId="5" borderId="1" xfId="0" applyNumberFormat="1" applyFont="1" applyFill="1" applyBorder="1" applyAlignment="1">
      <alignment horizontal="center" vertical="center"/>
    </xf>
    <xf numFmtId="0" fontId="3"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BE4B48"/>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2E75B6"/>
      <rgbColor rgb="FF4BACC6"/>
      <rgbColor rgb="FF9BBB59"/>
      <rgbColor rgb="FFFFCC00"/>
      <rgbColor rgb="FFFF9900"/>
      <rgbColor rgb="FFFF6600"/>
      <rgbColor rgb="FF8064A2"/>
      <rgbColor rgb="FF878787"/>
      <rgbColor rgb="FF003366"/>
      <rgbColor rgb="FF4F81BD"/>
      <rgbColor rgb="FF003300"/>
      <rgbColor rgb="FF333300"/>
      <rgbColor rgb="FF993300"/>
      <rgbColor rgb="FFC0504D"/>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Category</a:t>
            </a:r>
          </a:p>
        </c:rich>
      </c:tx>
      <c:overlay val="0"/>
      <c:spPr>
        <a:noFill/>
        <a:ln w="0">
          <a:noFill/>
        </a:ln>
      </c:spPr>
    </c:title>
    <c:autoTitleDeleted val="0"/>
    <c:plotArea>
      <c:layout/>
      <c:barChart>
        <c:barDir val="col"/>
        <c:grouping val="clustered"/>
        <c:varyColors val="0"/>
        <c:ser>
          <c:idx val="0"/>
          <c:order val="0"/>
          <c:tx>
            <c:strRef>
              <c:f>'Product Analysis'!$B$4</c:f>
              <c:strCache>
                <c:ptCount val="1"/>
                <c:pt idx="0">
                  <c:v>Total Sales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'Product Analysis'!$A$5:$A$9</c:f>
              <c:strCache>
                <c:ptCount val="5"/>
                <c:pt idx="0">
                  <c:v>Electronics</c:v>
                </c:pt>
                <c:pt idx="1">
                  <c:v>Furniture</c:v>
                </c:pt>
                <c:pt idx="2">
                  <c:v>Office Supplies</c:v>
                </c:pt>
                <c:pt idx="3">
                  <c:v>Clothing</c:v>
                </c:pt>
                <c:pt idx="4">
                  <c:v>Home &amp; Kitchen</c:v>
                </c:pt>
              </c:strCache>
            </c:strRef>
          </c:cat>
          <c:val>
            <c:numRef>
              <c:f>'Product Analysis'!$B$5:$B$9</c:f>
              <c:numCache>
                <c:formatCode>\₹#,##0</c:formatCode>
                <c:ptCount val="5"/>
                <c:pt idx="0">
                  <c:v>1079968.98</c:v>
                </c:pt>
                <c:pt idx="1">
                  <c:v>2174930.5799999991</c:v>
                </c:pt>
                <c:pt idx="2">
                  <c:v>206437.09999999998</c:v>
                </c:pt>
                <c:pt idx="3">
                  <c:v>775337.07000000007</c:v>
                </c:pt>
                <c:pt idx="4">
                  <c:v>1563702.1999999995</c:v>
                </c:pt>
              </c:numCache>
            </c:numRef>
          </c:val>
          <c:extLst>
            <c:ext xmlns:c16="http://schemas.microsoft.com/office/drawing/2014/chart" uri="{C3380CC4-5D6E-409C-BE32-E72D297353CC}">
              <c16:uniqueId val="{00000000-FEBD-4C0A-B23A-1B8C7982892F}"/>
            </c:ext>
          </c:extLst>
        </c:ser>
        <c:dLbls>
          <c:showLegendKey val="0"/>
          <c:showVal val="0"/>
          <c:showCatName val="0"/>
          <c:showSerName val="0"/>
          <c:showPercent val="0"/>
          <c:showBubbleSize val="0"/>
        </c:dLbls>
        <c:gapWidth val="150"/>
        <c:axId val="79484989"/>
        <c:axId val="40784237"/>
      </c:barChart>
      <c:catAx>
        <c:axId val="79484989"/>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Category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784237"/>
        <c:crosses val="autoZero"/>
        <c:auto val="1"/>
        <c:lblAlgn val="ctr"/>
        <c:lblOffset val="100"/>
        <c:noMultiLvlLbl val="0"/>
      </c:catAx>
      <c:valAx>
        <c:axId val="4078423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48498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Share by Category</a:t>
            </a:r>
          </a:p>
        </c:rich>
      </c:tx>
      <c:overlay val="0"/>
      <c:spPr>
        <a:noFill/>
        <a:ln w="0">
          <a:noFill/>
        </a:ln>
      </c:spPr>
    </c:title>
    <c:autoTitleDeleted val="0"/>
    <c:plotArea>
      <c:layout/>
      <c:pieChart>
        <c:varyColors val="1"/>
        <c:ser>
          <c:idx val="0"/>
          <c:order val="0"/>
          <c:tx>
            <c:strRef>
              <c:f>'Product Analysis'!$B$4</c:f>
              <c:strCache>
                <c:ptCount val="1"/>
                <c:pt idx="0">
                  <c:v>Total Sales</c:v>
                </c:pt>
              </c:strCache>
            </c:strRef>
          </c:tx>
          <c:spPr>
            <a:solidFill>
              <a:srgbClr val="4F81BD"/>
            </a:solidFill>
            <a:ln w="0">
              <a:noFill/>
            </a:ln>
          </c:spPr>
          <c:dPt>
            <c:idx val="0"/>
            <c:bubble3D val="0"/>
            <c:extLst>
              <c:ext xmlns:c16="http://schemas.microsoft.com/office/drawing/2014/chart" uri="{C3380CC4-5D6E-409C-BE32-E72D297353CC}">
                <c16:uniqueId val="{00000001-08EC-4554-BE6C-DEEDF31DBDC8}"/>
              </c:ext>
            </c:extLst>
          </c:dPt>
          <c:dPt>
            <c:idx val="1"/>
            <c:bubble3D val="0"/>
            <c:spPr>
              <a:solidFill>
                <a:srgbClr val="C0504D"/>
              </a:solidFill>
              <a:ln w="0">
                <a:noFill/>
              </a:ln>
            </c:spPr>
            <c:extLst>
              <c:ext xmlns:c16="http://schemas.microsoft.com/office/drawing/2014/chart" uri="{C3380CC4-5D6E-409C-BE32-E72D297353CC}">
                <c16:uniqueId val="{00000003-08EC-4554-BE6C-DEEDF31DBDC8}"/>
              </c:ext>
            </c:extLst>
          </c:dPt>
          <c:dPt>
            <c:idx val="2"/>
            <c:bubble3D val="0"/>
            <c:spPr>
              <a:solidFill>
                <a:srgbClr val="9BBB59"/>
              </a:solidFill>
              <a:ln w="0">
                <a:noFill/>
              </a:ln>
            </c:spPr>
            <c:extLst>
              <c:ext xmlns:c16="http://schemas.microsoft.com/office/drawing/2014/chart" uri="{C3380CC4-5D6E-409C-BE32-E72D297353CC}">
                <c16:uniqueId val="{00000005-08EC-4554-BE6C-DEEDF31DBDC8}"/>
              </c:ext>
            </c:extLst>
          </c:dPt>
          <c:dPt>
            <c:idx val="3"/>
            <c:bubble3D val="0"/>
            <c:spPr>
              <a:solidFill>
                <a:srgbClr val="8064A2"/>
              </a:solidFill>
              <a:ln w="0">
                <a:noFill/>
              </a:ln>
            </c:spPr>
            <c:extLst>
              <c:ext xmlns:c16="http://schemas.microsoft.com/office/drawing/2014/chart" uri="{C3380CC4-5D6E-409C-BE32-E72D297353CC}">
                <c16:uniqueId val="{00000007-08EC-4554-BE6C-DEEDF31DBDC8}"/>
              </c:ext>
            </c:extLst>
          </c:dPt>
          <c:dPt>
            <c:idx val="4"/>
            <c:bubble3D val="0"/>
            <c:spPr>
              <a:solidFill>
                <a:srgbClr val="4BACC6"/>
              </a:solidFill>
              <a:ln w="0">
                <a:noFill/>
              </a:ln>
            </c:spPr>
            <c:extLst>
              <c:ext xmlns:c16="http://schemas.microsoft.com/office/drawing/2014/chart" uri="{C3380CC4-5D6E-409C-BE32-E72D297353CC}">
                <c16:uniqueId val="{00000009-08EC-4554-BE6C-DEEDF31DBDC8}"/>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08EC-4554-BE6C-DEEDF31DBDC8}"/>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08EC-4554-BE6C-DEEDF31DBDC8}"/>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08EC-4554-BE6C-DEEDF31DBDC8}"/>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08EC-4554-BE6C-DEEDF31DBDC8}"/>
                </c:ext>
              </c:extLst>
            </c:dLbl>
            <c:dLbl>
              <c:idx val="4"/>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9-08EC-4554-BE6C-DEEDF31DBDC8}"/>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'Product Analysis'!$A$5:$A$9</c:f>
              <c:strCache>
                <c:ptCount val="5"/>
                <c:pt idx="0">
                  <c:v>Electronics</c:v>
                </c:pt>
                <c:pt idx="1">
                  <c:v>Furniture</c:v>
                </c:pt>
                <c:pt idx="2">
                  <c:v>Office Supplies</c:v>
                </c:pt>
                <c:pt idx="3">
                  <c:v>Clothing</c:v>
                </c:pt>
                <c:pt idx="4">
                  <c:v>Home &amp; Kitchen</c:v>
                </c:pt>
              </c:strCache>
            </c:strRef>
          </c:cat>
          <c:val>
            <c:numRef>
              <c:f>'Product Analysis'!$B$5:$B$9</c:f>
              <c:numCache>
                <c:formatCode>\₹#,##0</c:formatCode>
                <c:ptCount val="5"/>
                <c:pt idx="0">
                  <c:v>1079968.98</c:v>
                </c:pt>
                <c:pt idx="1">
                  <c:v>2174930.5799999991</c:v>
                </c:pt>
                <c:pt idx="2">
                  <c:v>206437.09999999998</c:v>
                </c:pt>
                <c:pt idx="3">
                  <c:v>775337.07000000007</c:v>
                </c:pt>
                <c:pt idx="4">
                  <c:v>1563702.1999999995</c:v>
                </c:pt>
              </c:numCache>
            </c:numRef>
          </c:val>
          <c:extLst>
            <c:ext xmlns:c16="http://schemas.microsoft.com/office/drawing/2014/chart" uri="{C3380CC4-5D6E-409C-BE32-E72D297353CC}">
              <c16:uniqueId val="{0000000A-08EC-4554-BE6C-DEEDF31DBDC8}"/>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Sales Trend (2024)</a:t>
            </a:r>
          </a:p>
        </c:rich>
      </c:tx>
      <c:overlay val="0"/>
      <c:spPr>
        <a:noFill/>
        <a:ln w="0">
          <a:noFill/>
        </a:ln>
      </c:spPr>
    </c:title>
    <c:autoTitleDeleted val="0"/>
    <c:plotArea>
      <c:layout/>
      <c:lineChart>
        <c:grouping val="standard"/>
        <c:varyColors val="0"/>
        <c:ser>
          <c:idx val="0"/>
          <c:order val="0"/>
          <c:tx>
            <c:strRef>
              <c:f>'Time Analysis'!$B$4</c:f>
              <c:strCache>
                <c:ptCount val="1"/>
                <c:pt idx="0">
                  <c:v>Total Sales</c:v>
                </c:pt>
              </c:strCache>
            </c:strRef>
          </c:tx>
          <c:spPr>
            <a:ln w="4752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'Time Analysis'!$A$5:$A$16</c:f>
              <c:strCache>
                <c:ptCount val="12"/>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strCache>
            </c:strRef>
          </c:cat>
          <c:val>
            <c:numRef>
              <c:f>'Time Analysis'!$B$5:$B$16</c:f>
              <c:numCache>
                <c:formatCode>\₹#,##0</c:formatCode>
                <c:ptCount val="12"/>
                <c:pt idx="0">
                  <c:v>489471.14999999991</c:v>
                </c:pt>
                <c:pt idx="1">
                  <c:v>360307.13</c:v>
                </c:pt>
                <c:pt idx="2">
                  <c:v>786759.57000000018</c:v>
                </c:pt>
                <c:pt idx="3">
                  <c:v>507548.51000000007</c:v>
                </c:pt>
                <c:pt idx="4">
                  <c:v>425565.43000000011</c:v>
                </c:pt>
                <c:pt idx="5">
                  <c:v>543259.01</c:v>
                </c:pt>
                <c:pt idx="6">
                  <c:v>286633</c:v>
                </c:pt>
                <c:pt idx="7">
                  <c:v>359755.51</c:v>
                </c:pt>
                <c:pt idx="8">
                  <c:v>534174.02000000014</c:v>
                </c:pt>
                <c:pt idx="9">
                  <c:v>447535.9200000001</c:v>
                </c:pt>
                <c:pt idx="10">
                  <c:v>372943.95000000007</c:v>
                </c:pt>
                <c:pt idx="11">
                  <c:v>686422.73</c:v>
                </c:pt>
              </c:numCache>
            </c:numRef>
          </c:val>
          <c:smooth val="1"/>
          <c:extLst>
            <c:ext xmlns:c16="http://schemas.microsoft.com/office/drawing/2014/chart" uri="{C3380CC4-5D6E-409C-BE32-E72D297353CC}">
              <c16:uniqueId val="{00000000-10D0-4170-B8F7-B4DC81E10F8D}"/>
            </c:ext>
          </c:extLst>
        </c:ser>
        <c:dLbls>
          <c:showLegendKey val="0"/>
          <c:showVal val="0"/>
          <c:showCatName val="0"/>
          <c:showSerName val="0"/>
          <c:showPercent val="0"/>
          <c:showBubbleSize val="0"/>
        </c:dLbls>
        <c:hiLowLines>
          <c:spPr>
            <a:ln w="0">
              <a:noFill/>
            </a:ln>
          </c:spPr>
        </c:hiLowLines>
        <c:smooth val="0"/>
        <c:axId val="84565381"/>
        <c:axId val="88876574"/>
      </c:lineChart>
      <c:catAx>
        <c:axId val="8456538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876574"/>
        <c:crosses val="autoZero"/>
        <c:auto val="1"/>
        <c:lblAlgn val="ctr"/>
        <c:lblOffset val="100"/>
        <c:noMultiLvlLbl val="0"/>
      </c:catAx>
      <c:valAx>
        <c:axId val="8887657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56538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Region</a:t>
            </a:r>
          </a:p>
        </c:rich>
      </c:tx>
      <c:overlay val="0"/>
      <c:spPr>
        <a:noFill/>
        <a:ln w="0">
          <a:noFill/>
        </a:ln>
      </c:spPr>
    </c:title>
    <c:autoTitleDeleted val="0"/>
    <c:plotArea>
      <c:layout/>
      <c:barChart>
        <c:barDir val="bar"/>
        <c:grouping val="clustered"/>
        <c:varyColors val="0"/>
        <c:ser>
          <c:idx val="0"/>
          <c:order val="0"/>
          <c:tx>
            <c:strRef>
              <c:f>'Customer Analysis'!$B$11</c:f>
              <c:strCache>
                <c:ptCount val="1"/>
                <c:pt idx="0">
                  <c:v>Total Sales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'Customer Analysis'!$A$12:$A$16</c:f>
              <c:strCache>
                <c:ptCount val="5"/>
                <c:pt idx="0">
                  <c:v>North</c:v>
                </c:pt>
                <c:pt idx="1">
                  <c:v>South</c:v>
                </c:pt>
                <c:pt idx="2">
                  <c:v>East</c:v>
                </c:pt>
                <c:pt idx="3">
                  <c:v>West</c:v>
                </c:pt>
                <c:pt idx="4">
                  <c:v>Central</c:v>
                </c:pt>
              </c:strCache>
            </c:strRef>
          </c:cat>
          <c:val>
            <c:numRef>
              <c:f>'Customer Analysis'!$B$12:$B$16</c:f>
              <c:numCache>
                <c:formatCode>\₹#,##0</c:formatCode>
                <c:ptCount val="5"/>
                <c:pt idx="0">
                  <c:v>1068826.7000000002</c:v>
                </c:pt>
                <c:pt idx="1">
                  <c:v>868560.03999999992</c:v>
                </c:pt>
                <c:pt idx="2">
                  <c:v>1147516.2999999998</c:v>
                </c:pt>
                <c:pt idx="3">
                  <c:v>1453113.7499999998</c:v>
                </c:pt>
                <c:pt idx="4">
                  <c:v>1262359.1400000004</c:v>
                </c:pt>
              </c:numCache>
            </c:numRef>
          </c:val>
          <c:extLst>
            <c:ext xmlns:c16="http://schemas.microsoft.com/office/drawing/2014/chart" uri="{C3380CC4-5D6E-409C-BE32-E72D297353CC}">
              <c16:uniqueId val="{00000000-C270-4A0A-8B0C-A127ECBF204E}"/>
            </c:ext>
          </c:extLst>
        </c:ser>
        <c:dLbls>
          <c:showLegendKey val="0"/>
          <c:showVal val="0"/>
          <c:showCatName val="0"/>
          <c:showSerName val="0"/>
          <c:showPercent val="0"/>
          <c:showBubbleSize val="0"/>
        </c:dLbls>
        <c:gapWidth val="150"/>
        <c:axId val="77025532"/>
        <c:axId val="24124651"/>
      </c:barChart>
      <c:catAx>
        <c:axId val="77025532"/>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124651"/>
        <c:crosses val="autoZero"/>
        <c:auto val="1"/>
        <c:lblAlgn val="ctr"/>
        <c:lblOffset val="100"/>
        <c:noMultiLvlLbl val="0"/>
      </c:catAx>
      <c:valAx>
        <c:axId val="24124651"/>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Region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02553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Customer Segment</a:t>
            </a:r>
          </a:p>
        </c:rich>
      </c:tx>
      <c:overlay val="0"/>
      <c:spPr>
        <a:noFill/>
        <a:ln w="0">
          <a:noFill/>
        </a:ln>
      </c:spPr>
    </c:title>
    <c:autoTitleDeleted val="0"/>
    <c:plotArea>
      <c:layout/>
      <c:barChart>
        <c:barDir val="col"/>
        <c:grouping val="clustered"/>
        <c:varyColors val="0"/>
        <c:ser>
          <c:idx val="0"/>
          <c:order val="0"/>
          <c:tx>
            <c:strRef>
              <c:f>'Customer Analysis'!$B$4</c:f>
              <c:strCache>
                <c:ptCount val="1"/>
                <c:pt idx="0">
                  <c:v>Total Sales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'Customer Analysis'!$A$5:$A$7</c:f>
              <c:strCache>
                <c:ptCount val="3"/>
                <c:pt idx="0">
                  <c:v>Consumer</c:v>
                </c:pt>
                <c:pt idx="1">
                  <c:v>Corporate</c:v>
                </c:pt>
                <c:pt idx="2">
                  <c:v>Home Office</c:v>
                </c:pt>
              </c:strCache>
            </c:strRef>
          </c:cat>
          <c:val>
            <c:numRef>
              <c:f>'Customer Analysis'!$B$5:$B$7</c:f>
              <c:numCache>
                <c:formatCode>\₹#,##0</c:formatCode>
                <c:ptCount val="3"/>
                <c:pt idx="0">
                  <c:v>3110524.1799999983</c:v>
                </c:pt>
                <c:pt idx="1">
                  <c:v>1374137.5500000003</c:v>
                </c:pt>
                <c:pt idx="2">
                  <c:v>1315714.2</c:v>
                </c:pt>
              </c:numCache>
            </c:numRef>
          </c:val>
          <c:extLst>
            <c:ext xmlns:c16="http://schemas.microsoft.com/office/drawing/2014/chart" uri="{C3380CC4-5D6E-409C-BE32-E72D297353CC}">
              <c16:uniqueId val="{00000000-040A-4277-A47A-3D48195B1450}"/>
            </c:ext>
          </c:extLst>
        </c:ser>
        <c:dLbls>
          <c:showLegendKey val="0"/>
          <c:showVal val="0"/>
          <c:showCatName val="0"/>
          <c:showSerName val="0"/>
          <c:showPercent val="0"/>
          <c:showBubbleSize val="0"/>
        </c:dLbls>
        <c:gapWidth val="150"/>
        <c:axId val="14312378"/>
        <c:axId val="86033538"/>
      </c:barChart>
      <c:catAx>
        <c:axId val="143123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033538"/>
        <c:crosses val="autoZero"/>
        <c:auto val="1"/>
        <c:lblAlgn val="ctr"/>
        <c:lblOffset val="100"/>
        <c:noMultiLvlLbl val="0"/>
      </c:catAx>
      <c:valAx>
        <c:axId val="8603353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3123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a:t>
            </a:r>
            <a:r>
              <a:rPr lang="en-US" baseline="0"/>
              <a:t> 10 Customer</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654199475065616E-2"/>
          <c:y val="0.2061574074074074"/>
          <c:w val="0.92534580052493443"/>
          <c:h val="0.47330125400991541"/>
        </c:manualLayout>
      </c:layout>
      <c:barChart>
        <c:barDir val="col"/>
        <c:grouping val="clustered"/>
        <c:varyColors val="0"/>
        <c:ser>
          <c:idx val="0"/>
          <c:order val="0"/>
          <c:tx>
            <c:strRef>
              <c:f>'Customer pivot'!$B$2</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pivot'!$A$3:$A$12</c:f>
              <c:strCache>
                <c:ptCount val="10"/>
                <c:pt idx="0">
                  <c:v>Vihaan Das</c:v>
                </c:pt>
                <c:pt idx="1">
                  <c:v>Liam Das</c:v>
                </c:pt>
                <c:pt idx="2">
                  <c:v>Olivia Smith</c:v>
                </c:pt>
                <c:pt idx="3">
                  <c:v>Reyansh Brown</c:v>
                </c:pt>
                <c:pt idx="4">
                  <c:v>Anika Patel</c:v>
                </c:pt>
                <c:pt idx="5">
                  <c:v>Arjun Kapoor</c:v>
                </c:pt>
                <c:pt idx="6">
                  <c:v>Navya Nair</c:v>
                </c:pt>
                <c:pt idx="7">
                  <c:v>Isabella Sharma</c:v>
                </c:pt>
                <c:pt idx="8">
                  <c:v>Riya Iyer</c:v>
                </c:pt>
                <c:pt idx="9">
                  <c:v>Kiara Johnson</c:v>
                </c:pt>
              </c:strCache>
            </c:strRef>
          </c:cat>
          <c:val>
            <c:numRef>
              <c:f>'Customer pivot'!$B$3:$B$12</c:f>
              <c:numCache>
                <c:formatCode>\₹#,##0</c:formatCode>
                <c:ptCount val="10"/>
                <c:pt idx="0">
                  <c:v>413327.94</c:v>
                </c:pt>
                <c:pt idx="1">
                  <c:v>201621.7</c:v>
                </c:pt>
                <c:pt idx="2">
                  <c:v>186309.84999999998</c:v>
                </c:pt>
                <c:pt idx="3">
                  <c:v>185040.5</c:v>
                </c:pt>
                <c:pt idx="4">
                  <c:v>164327.91</c:v>
                </c:pt>
                <c:pt idx="5">
                  <c:v>161449.92000000001</c:v>
                </c:pt>
                <c:pt idx="6">
                  <c:v>156368.39000000001</c:v>
                </c:pt>
                <c:pt idx="7">
                  <c:v>155344.72000000003</c:v>
                </c:pt>
                <c:pt idx="8">
                  <c:v>144391.63000000003</c:v>
                </c:pt>
                <c:pt idx="9">
                  <c:v>136136.29999999999</c:v>
                </c:pt>
              </c:numCache>
            </c:numRef>
          </c:val>
          <c:extLst>
            <c:ext xmlns:c16="http://schemas.microsoft.com/office/drawing/2014/chart" uri="{C3380CC4-5D6E-409C-BE32-E72D297353CC}">
              <c16:uniqueId val="{00000000-916B-4B27-B7F2-3077B8236C59}"/>
            </c:ext>
          </c:extLst>
        </c:ser>
        <c:dLbls>
          <c:dLblPos val="outEnd"/>
          <c:showLegendKey val="0"/>
          <c:showVal val="1"/>
          <c:showCatName val="0"/>
          <c:showSerName val="0"/>
          <c:showPercent val="0"/>
          <c:showBubbleSize val="0"/>
        </c:dLbls>
        <c:gapWidth val="444"/>
        <c:overlap val="-90"/>
        <c:axId val="1695663119"/>
        <c:axId val="1695646799"/>
      </c:barChart>
      <c:catAx>
        <c:axId val="16956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5646799"/>
        <c:crosses val="autoZero"/>
        <c:auto val="1"/>
        <c:lblAlgn val="ctr"/>
        <c:lblOffset val="100"/>
        <c:noMultiLvlLbl val="0"/>
      </c:catAx>
      <c:valAx>
        <c:axId val="1695646799"/>
        <c:scaling>
          <c:orientation val="minMax"/>
        </c:scaling>
        <c:delete val="1"/>
        <c:axPos val="l"/>
        <c:numFmt formatCode="\₹#,##0" sourceLinked="1"/>
        <c:majorTickMark val="none"/>
        <c:minorTickMark val="none"/>
        <c:tickLblPos val="nextTo"/>
        <c:crossAx val="169566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0007.xlsx]Customer 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Segment</a:t>
            </a:r>
            <a:r>
              <a:rPr lang="en-US" b="1" baseline="0"/>
              <a:t> vs </a:t>
            </a:r>
            <a:br>
              <a:rPr lang="en-US" b="1" baseline="0"/>
            </a:br>
            <a:r>
              <a:rPr lang="en-US" b="1" baseline="0"/>
              <a:t>Customer</a:t>
            </a:r>
            <a:endParaRPr lang="en-US" b="1"/>
          </a:p>
        </c:rich>
      </c:tx>
      <c:layout>
        <c:manualLayout>
          <c:xMode val="edge"/>
          <c:yMode val="edge"/>
          <c:x val="0.69964912280701752"/>
          <c:y val="0.142076502732240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7516158818097874"/>
              <c:y val="-7.10382513661202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6FA8806-A877-48E6-BC13-8D64480CF5B0}" type="CATEGORYNAME">
                  <a:rPr lang="en-US" sz="11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100" b="1" baseline="0">
                    <a:solidFill>
                      <a:schemeClr val="tx1"/>
                    </a:solidFill>
                  </a:rPr>
                  <a:t>
</a:t>
                </a:r>
                <a:fld id="{8319087B-F0B0-4D0B-9D48-080C178F569D}" type="PERCENTAGE">
                  <a:rPr lang="en-US" sz="11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85942373546797"/>
                  <c:h val="0.32357299599845102"/>
                </c:manualLayout>
              </c15:layout>
              <c15:dlblFieldTable/>
              <c15:showDataLabelsRange val="0"/>
            </c:ext>
          </c:extLst>
        </c:dLbl>
      </c:pivotFmt>
      <c:pivotFmt>
        <c:idx val="2"/>
        <c:spPr>
          <a:solidFill>
            <a:schemeClr val="accent2"/>
          </a:solidFill>
          <a:ln w="19050">
            <a:solidFill>
              <a:schemeClr val="lt1"/>
            </a:solidFill>
          </a:ln>
          <a:effectLst/>
        </c:spPr>
        <c:dLbl>
          <c:idx val="0"/>
          <c:layout>
            <c:manualLayout>
              <c:x val="9.0874799974621029E-2"/>
              <c:y val="-0.1692010689106833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C4C0D5D4-37C5-42DD-9A0C-90AB6A8B6A94}" type="CATEGORYNAME">
                  <a:rPr lang="en-US" sz="11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100" b="1" baseline="0">
                    <a:solidFill>
                      <a:schemeClr val="tx1"/>
                    </a:solidFill>
                  </a:rPr>
                  <a:t>
</a:t>
                </a:r>
                <a:fld id="{31FC0C36-51AC-413D-B1E5-E355362A5AF7}" type="PERCENTAGE">
                  <a:rPr lang="en-US" sz="11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38862138635549"/>
                  <c:h val="0.25462757580834311"/>
                </c:manualLayout>
              </c15:layout>
              <c15:dlblFieldTable/>
              <c15:showDataLabelsRange val="0"/>
            </c:ext>
          </c:extLst>
        </c:dLbl>
      </c:pivotFmt>
      <c:pivotFmt>
        <c:idx val="3"/>
        <c:spPr>
          <a:solidFill>
            <a:schemeClr val="accent3"/>
          </a:solidFill>
          <a:ln w="19050">
            <a:solidFill>
              <a:schemeClr val="lt1"/>
            </a:solidFill>
          </a:ln>
          <a:effectLst/>
        </c:spPr>
        <c:dLbl>
          <c:idx val="0"/>
          <c:layout>
            <c:manualLayout>
              <c:x val="9.6029547553093259E-2"/>
              <c:y val="0.1748636031151844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39607BA-D68F-4964-9B7D-6A106459CF76}" type="CATEGORYNAME">
                  <a:rPr lang="en-US" sz="12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200" b="1" baseline="0">
                    <a:solidFill>
                      <a:schemeClr val="tx1"/>
                    </a:solidFill>
                  </a:rPr>
                  <a:t>
</a:t>
                </a:r>
                <a:fld id="{C106434F-A0C1-4145-830A-9EDEFE7EA51A}" type="PERCENTAGE">
                  <a:rPr lang="en-US" sz="12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2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61990242909387"/>
                  <c:h val="0.33450195774708491"/>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7516158818097874"/>
              <c:y val="-7.10382513661202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6FA8806-A877-48E6-BC13-8D64480CF5B0}" type="CATEGORYNAME">
                  <a:rPr lang="en-US" sz="11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100" b="1" baseline="0">
                    <a:solidFill>
                      <a:schemeClr val="tx1"/>
                    </a:solidFill>
                  </a:rPr>
                  <a:t>
</a:t>
                </a:r>
                <a:fld id="{8319087B-F0B0-4D0B-9D48-080C178F569D}" type="PERCENTAGE">
                  <a:rPr lang="en-US" sz="11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85942373546797"/>
                  <c:h val="0.32357299599845102"/>
                </c:manualLayout>
              </c15:layout>
              <c15:dlblFieldTable/>
              <c15:showDataLabelsRange val="0"/>
            </c:ext>
          </c:extLst>
        </c:dLbl>
      </c:pivotFmt>
      <c:pivotFmt>
        <c:idx val="6"/>
        <c:spPr>
          <a:solidFill>
            <a:schemeClr val="accent1"/>
          </a:solidFill>
          <a:ln w="19050">
            <a:solidFill>
              <a:schemeClr val="lt1"/>
            </a:solidFill>
          </a:ln>
          <a:effectLst/>
        </c:spPr>
        <c:dLbl>
          <c:idx val="0"/>
          <c:layout>
            <c:manualLayout>
              <c:x val="9.0874799974621029E-2"/>
              <c:y val="-0.1692010689106833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C4C0D5D4-37C5-42DD-9A0C-90AB6A8B6A94}" type="CATEGORYNAME">
                  <a:rPr lang="en-US" sz="11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100" b="1" baseline="0">
                    <a:solidFill>
                      <a:schemeClr val="tx1"/>
                    </a:solidFill>
                  </a:rPr>
                  <a:t>
</a:t>
                </a:r>
                <a:fld id="{31FC0C36-51AC-413D-B1E5-E355362A5AF7}" type="PERCENTAGE">
                  <a:rPr lang="en-US" sz="11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38862138635549"/>
                  <c:h val="0.25462757580834311"/>
                </c:manualLayout>
              </c15:layout>
              <c15:dlblFieldTable/>
              <c15:showDataLabelsRange val="0"/>
            </c:ext>
          </c:extLst>
        </c:dLbl>
      </c:pivotFmt>
      <c:pivotFmt>
        <c:idx val="7"/>
        <c:spPr>
          <a:solidFill>
            <a:schemeClr val="accent1"/>
          </a:solidFill>
          <a:ln w="19050">
            <a:solidFill>
              <a:schemeClr val="lt1"/>
            </a:solidFill>
          </a:ln>
          <a:effectLst/>
        </c:spPr>
        <c:dLbl>
          <c:idx val="0"/>
          <c:layout>
            <c:manualLayout>
              <c:x val="9.6029547553093259E-2"/>
              <c:y val="0.1748636031151844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39607BA-D68F-4964-9B7D-6A106459CF76}" type="CATEGORYNAME">
                  <a:rPr lang="en-US" sz="12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200" b="1" baseline="0">
                    <a:solidFill>
                      <a:schemeClr val="tx1"/>
                    </a:solidFill>
                  </a:rPr>
                  <a:t>
</a:t>
                </a:r>
                <a:fld id="{C106434F-A0C1-4145-830A-9EDEFE7EA51A}" type="PERCENTAGE">
                  <a:rPr lang="en-US" sz="12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2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61990242909387"/>
                  <c:h val="0.33450195774708491"/>
                </c:manualLayout>
              </c15:layout>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7516158818097874"/>
              <c:y val="-7.10382513661202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6FA8806-A877-48E6-BC13-8D64480CF5B0}" type="CATEGORYNAME">
                  <a:rPr lang="en-US" sz="1100" b="1">
                    <a:solidFill>
                      <a:schemeClr val="tx1"/>
                    </a:solidFill>
                  </a:rPr>
                  <a:pPr>
                    <a:defRPr/>
                  </a:pPr>
                  <a:t>[CATEGORY NAME]</a:t>
                </a:fld>
                <a:r>
                  <a:rPr lang="en-US" sz="1100" b="1" baseline="0">
                    <a:solidFill>
                      <a:schemeClr val="tx1"/>
                    </a:solidFill>
                  </a:rPr>
                  <a:t>
</a:t>
                </a:r>
                <a:fld id="{8319087B-F0B0-4D0B-9D48-080C178F569D}"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85942373546797"/>
                  <c:h val="0.32357299599845102"/>
                </c:manualLayout>
              </c15:layout>
              <c15:dlblFieldTable/>
              <c15:showDataLabelsRange val="0"/>
            </c:ext>
          </c:extLst>
        </c:dLbl>
      </c:pivotFmt>
      <c:pivotFmt>
        <c:idx val="10"/>
        <c:spPr>
          <a:solidFill>
            <a:schemeClr val="accent1"/>
          </a:solidFill>
          <a:ln w="19050">
            <a:solidFill>
              <a:schemeClr val="lt1"/>
            </a:solidFill>
          </a:ln>
          <a:effectLst/>
        </c:spPr>
        <c:dLbl>
          <c:idx val="0"/>
          <c:layout>
            <c:manualLayout>
              <c:x val="9.0874799974621029E-2"/>
              <c:y val="-0.1692010689106833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C4C0D5D4-37C5-42DD-9A0C-90AB6A8B6A94}" type="CATEGORYNAME">
                  <a:rPr lang="en-US" sz="1100" b="1">
                    <a:solidFill>
                      <a:schemeClr val="tx1"/>
                    </a:solidFill>
                  </a:rPr>
                  <a:pPr>
                    <a:defRPr/>
                  </a:pPr>
                  <a:t>[CATEGORY NAME]</a:t>
                </a:fld>
                <a:r>
                  <a:rPr lang="en-US" sz="1100" b="1" baseline="0">
                    <a:solidFill>
                      <a:schemeClr val="tx1"/>
                    </a:solidFill>
                  </a:rPr>
                  <a:t>
</a:t>
                </a:r>
                <a:fld id="{31FC0C36-51AC-413D-B1E5-E355362A5AF7}"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38862138635549"/>
                  <c:h val="0.25462757580834311"/>
                </c:manualLayout>
              </c15:layout>
              <c15:dlblFieldTable/>
              <c15:showDataLabelsRange val="0"/>
            </c:ext>
          </c:extLst>
        </c:dLbl>
      </c:pivotFmt>
      <c:pivotFmt>
        <c:idx val="11"/>
        <c:spPr>
          <a:solidFill>
            <a:schemeClr val="accent1"/>
          </a:solidFill>
          <a:ln w="19050">
            <a:solidFill>
              <a:schemeClr val="lt1"/>
            </a:solidFill>
          </a:ln>
          <a:effectLst/>
        </c:spPr>
        <c:dLbl>
          <c:idx val="0"/>
          <c:layout>
            <c:manualLayout>
              <c:x val="9.6029547553093259E-2"/>
              <c:y val="0.1748636031151844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39607BA-D68F-4964-9B7D-6A106459CF76}" type="CATEGORYNAME">
                  <a:rPr lang="en-US" sz="1200" b="1">
                    <a:solidFill>
                      <a:schemeClr val="tx1"/>
                    </a:solidFill>
                  </a:rPr>
                  <a:pPr>
                    <a:defRPr/>
                  </a:pPr>
                  <a:t>[CATEGORY NAME]</a:t>
                </a:fld>
                <a:r>
                  <a:rPr lang="en-US" sz="1200" b="1" baseline="0">
                    <a:solidFill>
                      <a:schemeClr val="tx1"/>
                    </a:solidFill>
                  </a:rPr>
                  <a:t>
</a:t>
                </a:r>
                <a:fld id="{C106434F-A0C1-4145-830A-9EDEFE7EA51A}" type="PERCENTAGE">
                  <a:rPr lang="en-US" sz="1200" b="1" baseline="0">
                    <a:solidFill>
                      <a:schemeClr val="tx1"/>
                    </a:solidFill>
                  </a:rPr>
                  <a:pPr>
                    <a:defRPr/>
                  </a:pPr>
                  <a:t>[PERCENTAGE]</a:t>
                </a:fld>
                <a:endParaRPr lang="en-US" sz="12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61990242909387"/>
                  <c:h val="0.33450195774708491"/>
                </c:manualLayout>
              </c15:layout>
              <c15:dlblFieldTable/>
              <c15:showDataLabelsRange val="0"/>
            </c:ext>
          </c:extLst>
        </c:dLbl>
      </c:pivotFmt>
    </c:pivotFmts>
    <c:plotArea>
      <c:layout>
        <c:manualLayout>
          <c:layoutTarget val="inner"/>
          <c:xMode val="edge"/>
          <c:yMode val="edge"/>
          <c:x val="2.0703935553762147E-2"/>
          <c:y val="1.094057914891786E-2"/>
          <c:w val="0.64538864774867133"/>
          <c:h val="0.95485779441504237"/>
        </c:manualLayout>
      </c:layout>
      <c:pieChart>
        <c:varyColors val="1"/>
        <c:ser>
          <c:idx val="0"/>
          <c:order val="0"/>
          <c:tx>
            <c:strRef>
              <c:f>'Customer pivot'!$B$21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73-45A7-B9AE-85333277E5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73-45A7-B9AE-85333277E5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73-45A7-B9AE-85333277E53C}"/>
              </c:ext>
            </c:extLst>
          </c:dPt>
          <c:dLbls>
            <c:dLbl>
              <c:idx val="0"/>
              <c:layout>
                <c:manualLayout>
                  <c:x val="-0.27516158818097874"/>
                  <c:y val="-7.10382513661202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6FA8806-A877-48E6-BC13-8D64480CF5B0}" type="CATEGORYNAME">
                      <a:rPr lang="en-US" sz="1100" b="1">
                        <a:solidFill>
                          <a:schemeClr val="tx1"/>
                        </a:solidFill>
                      </a:rPr>
                      <a:pPr>
                        <a:defRPr/>
                      </a:pPr>
                      <a:t>[CATEGORY NAME]</a:t>
                    </a:fld>
                    <a:r>
                      <a:rPr lang="en-US" sz="1100" b="1" baseline="0">
                        <a:solidFill>
                          <a:schemeClr val="tx1"/>
                        </a:solidFill>
                      </a:rPr>
                      <a:t>
</a:t>
                    </a:r>
                    <a:fld id="{8319087B-F0B0-4D0B-9D48-080C178F569D}"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85942373546797"/>
                      <c:h val="0.32357299599845102"/>
                    </c:manualLayout>
                  </c15:layout>
                  <c15:dlblFieldTable/>
                  <c15:showDataLabelsRange val="0"/>
                </c:ext>
                <c:ext xmlns:c16="http://schemas.microsoft.com/office/drawing/2014/chart" uri="{C3380CC4-5D6E-409C-BE32-E72D297353CC}">
                  <c16:uniqueId val="{00000001-3F73-45A7-B9AE-85333277E53C}"/>
                </c:ext>
              </c:extLst>
            </c:dLbl>
            <c:dLbl>
              <c:idx val="1"/>
              <c:layout>
                <c:manualLayout>
                  <c:x val="9.0874799974621029E-2"/>
                  <c:y val="-0.1692010689106833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C4C0D5D4-37C5-42DD-9A0C-90AB6A8B6A94}" type="CATEGORYNAME">
                      <a:rPr lang="en-US" sz="1100" b="1">
                        <a:solidFill>
                          <a:schemeClr val="tx1"/>
                        </a:solidFill>
                      </a:rPr>
                      <a:pPr>
                        <a:defRPr/>
                      </a:pPr>
                      <a:t>[CATEGORY NAME]</a:t>
                    </a:fld>
                    <a:r>
                      <a:rPr lang="en-US" sz="1100" b="1" baseline="0">
                        <a:solidFill>
                          <a:schemeClr val="tx1"/>
                        </a:solidFill>
                      </a:rPr>
                      <a:t>
</a:t>
                    </a:r>
                    <a:fld id="{31FC0C36-51AC-413D-B1E5-E355362A5AF7}"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38862138635549"/>
                      <c:h val="0.25462757580834311"/>
                    </c:manualLayout>
                  </c15:layout>
                  <c15:dlblFieldTable/>
                  <c15:showDataLabelsRange val="0"/>
                </c:ext>
                <c:ext xmlns:c16="http://schemas.microsoft.com/office/drawing/2014/chart" uri="{C3380CC4-5D6E-409C-BE32-E72D297353CC}">
                  <c16:uniqueId val="{00000003-3F73-45A7-B9AE-85333277E53C}"/>
                </c:ext>
              </c:extLst>
            </c:dLbl>
            <c:dLbl>
              <c:idx val="2"/>
              <c:layout>
                <c:manualLayout>
                  <c:x val="9.6029547553093259E-2"/>
                  <c:y val="0.1748636031151844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39607BA-D68F-4964-9B7D-6A106459CF76}" type="CATEGORYNAME">
                      <a:rPr lang="en-US" sz="1200" b="1">
                        <a:solidFill>
                          <a:schemeClr val="tx1"/>
                        </a:solidFill>
                      </a:rPr>
                      <a:pPr>
                        <a:defRPr/>
                      </a:pPr>
                      <a:t>[CATEGORY NAME]</a:t>
                    </a:fld>
                    <a:r>
                      <a:rPr lang="en-US" sz="1200" b="1" baseline="0">
                        <a:solidFill>
                          <a:schemeClr val="tx1"/>
                        </a:solidFill>
                      </a:rPr>
                      <a:t>
</a:t>
                    </a:r>
                    <a:fld id="{C106434F-A0C1-4145-830A-9EDEFE7EA51A}" type="PERCENTAGE">
                      <a:rPr lang="en-US" sz="1200" b="1" baseline="0">
                        <a:solidFill>
                          <a:schemeClr val="tx1"/>
                        </a:solidFill>
                      </a:rPr>
                      <a:pPr>
                        <a:defRPr/>
                      </a:pPr>
                      <a:t>[PERCENTAGE]</a:t>
                    </a:fld>
                    <a:endParaRPr lang="en-US" sz="12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61990242909387"/>
                      <c:h val="0.33450195774708491"/>
                    </c:manualLayout>
                  </c15:layout>
                  <c15:dlblFieldTable/>
                  <c15:showDataLabelsRange val="0"/>
                </c:ext>
                <c:ext xmlns:c16="http://schemas.microsoft.com/office/drawing/2014/chart" uri="{C3380CC4-5D6E-409C-BE32-E72D297353CC}">
                  <c16:uniqueId val="{00000005-3F73-45A7-B9AE-85333277E53C}"/>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pivot'!$A$22:$A$24</c:f>
              <c:strCache>
                <c:ptCount val="3"/>
                <c:pt idx="0">
                  <c:v>Consumer</c:v>
                </c:pt>
                <c:pt idx="1">
                  <c:v>Corporate</c:v>
                </c:pt>
                <c:pt idx="2">
                  <c:v>Home Office</c:v>
                </c:pt>
              </c:strCache>
            </c:strRef>
          </c:cat>
          <c:val>
            <c:numRef>
              <c:f>'Customer pivot'!$B$22:$B$24</c:f>
              <c:numCache>
                <c:formatCode>General</c:formatCode>
                <c:ptCount val="3"/>
                <c:pt idx="0">
                  <c:v>225</c:v>
                </c:pt>
                <c:pt idx="1">
                  <c:v>90</c:v>
                </c:pt>
                <c:pt idx="2">
                  <c:v>105</c:v>
                </c:pt>
              </c:numCache>
            </c:numRef>
          </c:val>
          <c:extLst>
            <c:ext xmlns:c16="http://schemas.microsoft.com/office/drawing/2014/chart" uri="{C3380CC4-5D6E-409C-BE32-E72D297353CC}">
              <c16:uniqueId val="{00000006-3F73-45A7-B9AE-85333277E53C}"/>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3871907285827498"/>
          <c:y val="0.51244438707456652"/>
          <c:w val="0.2280399299118081"/>
          <c:h val="0.3531440127361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0007.xlsx]Customer 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vs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27624671916011"/>
          <c:y val="0.15605555555555559"/>
          <c:w val="0.76805708661417327"/>
          <c:h val="0.74284295713035864"/>
        </c:manualLayout>
      </c:layout>
      <c:barChart>
        <c:barDir val="bar"/>
        <c:grouping val="clustered"/>
        <c:varyColors val="0"/>
        <c:ser>
          <c:idx val="0"/>
          <c:order val="0"/>
          <c:tx>
            <c:strRef>
              <c:f>'Customer pivot'!$B$26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pivot'!$A$27:$A$31</c:f>
              <c:strCache>
                <c:ptCount val="5"/>
                <c:pt idx="0">
                  <c:v>Cash on Delivery</c:v>
                </c:pt>
                <c:pt idx="1">
                  <c:v>Credit Card</c:v>
                </c:pt>
                <c:pt idx="2">
                  <c:v>Debit Card</c:v>
                </c:pt>
                <c:pt idx="3">
                  <c:v>Net Banking</c:v>
                </c:pt>
                <c:pt idx="4">
                  <c:v>UPI</c:v>
                </c:pt>
              </c:strCache>
            </c:strRef>
          </c:cat>
          <c:val>
            <c:numRef>
              <c:f>'Customer pivot'!$B$27:$B$31</c:f>
              <c:numCache>
                <c:formatCode>General</c:formatCode>
                <c:ptCount val="5"/>
                <c:pt idx="0">
                  <c:v>98</c:v>
                </c:pt>
                <c:pt idx="1">
                  <c:v>75</c:v>
                </c:pt>
                <c:pt idx="2">
                  <c:v>74</c:v>
                </c:pt>
                <c:pt idx="3">
                  <c:v>85</c:v>
                </c:pt>
                <c:pt idx="4">
                  <c:v>88</c:v>
                </c:pt>
              </c:numCache>
            </c:numRef>
          </c:val>
          <c:extLst>
            <c:ext xmlns:c16="http://schemas.microsoft.com/office/drawing/2014/chart" uri="{C3380CC4-5D6E-409C-BE32-E72D297353CC}">
              <c16:uniqueId val="{00000000-F635-4B47-837B-1635610A631E}"/>
            </c:ext>
          </c:extLst>
        </c:ser>
        <c:dLbls>
          <c:dLblPos val="outEnd"/>
          <c:showLegendKey val="0"/>
          <c:showVal val="1"/>
          <c:showCatName val="0"/>
          <c:showSerName val="0"/>
          <c:showPercent val="0"/>
          <c:showBubbleSize val="0"/>
        </c:dLbls>
        <c:gapWidth val="182"/>
        <c:axId val="1759808015"/>
        <c:axId val="1759820015"/>
      </c:barChart>
      <c:catAx>
        <c:axId val="175980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820015"/>
        <c:crosses val="autoZero"/>
        <c:auto val="1"/>
        <c:lblAlgn val="ctr"/>
        <c:lblOffset val="100"/>
        <c:noMultiLvlLbl val="0"/>
      </c:catAx>
      <c:valAx>
        <c:axId val="175982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80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0007.xlsx]Customer 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vs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8114610673666"/>
          <c:y val="0.14393518518518519"/>
          <c:w val="0.84936329833770774"/>
          <c:h val="0.77181357538640982"/>
        </c:manualLayout>
      </c:layout>
      <c:barChart>
        <c:barDir val="bar"/>
        <c:grouping val="clustered"/>
        <c:varyColors val="0"/>
        <c:ser>
          <c:idx val="0"/>
          <c:order val="0"/>
          <c:tx>
            <c:strRef>
              <c:f>'Customer 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pivot'!$A$15:$A$19</c:f>
              <c:strCache>
                <c:ptCount val="5"/>
                <c:pt idx="0">
                  <c:v>Central</c:v>
                </c:pt>
                <c:pt idx="1">
                  <c:v>East</c:v>
                </c:pt>
                <c:pt idx="2">
                  <c:v>North</c:v>
                </c:pt>
                <c:pt idx="3">
                  <c:v>South</c:v>
                </c:pt>
                <c:pt idx="4">
                  <c:v>West</c:v>
                </c:pt>
              </c:strCache>
            </c:strRef>
          </c:cat>
          <c:val>
            <c:numRef>
              <c:f>'Customer pivot'!$B$15:$B$19</c:f>
              <c:numCache>
                <c:formatCode>General</c:formatCode>
                <c:ptCount val="5"/>
                <c:pt idx="0">
                  <c:v>93</c:v>
                </c:pt>
                <c:pt idx="1">
                  <c:v>85</c:v>
                </c:pt>
                <c:pt idx="2">
                  <c:v>83</c:v>
                </c:pt>
                <c:pt idx="3">
                  <c:v>59</c:v>
                </c:pt>
                <c:pt idx="4">
                  <c:v>100</c:v>
                </c:pt>
              </c:numCache>
            </c:numRef>
          </c:val>
          <c:extLst>
            <c:ext xmlns:c16="http://schemas.microsoft.com/office/drawing/2014/chart" uri="{C3380CC4-5D6E-409C-BE32-E72D297353CC}">
              <c16:uniqueId val="{00000000-CA4E-405F-8F31-6C4D582B83B1}"/>
            </c:ext>
          </c:extLst>
        </c:ser>
        <c:dLbls>
          <c:dLblPos val="outEnd"/>
          <c:showLegendKey val="0"/>
          <c:showVal val="1"/>
          <c:showCatName val="0"/>
          <c:showSerName val="0"/>
          <c:showPercent val="0"/>
          <c:showBubbleSize val="0"/>
        </c:dLbls>
        <c:gapWidth val="182"/>
        <c:axId val="1695675119"/>
        <c:axId val="1695675599"/>
      </c:barChart>
      <c:catAx>
        <c:axId val="169567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75599"/>
        <c:crosses val="autoZero"/>
        <c:auto val="1"/>
        <c:lblAlgn val="ctr"/>
        <c:lblOffset val="100"/>
        <c:noMultiLvlLbl val="0"/>
      </c:catAx>
      <c:valAx>
        <c:axId val="169567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7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0007.xlsx]Customer pivot!PivotTable10</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Month</a:t>
            </a:r>
            <a:br>
              <a:rPr lang="en-US"/>
            </a:br>
            <a:r>
              <a:rPr lang="en-US"/>
              <a:t>vs </a:t>
            </a:r>
            <a:br>
              <a:rPr lang="en-US"/>
            </a:br>
            <a:r>
              <a:rPr lang="en-US"/>
              <a:t>Customer</a:t>
            </a:r>
          </a:p>
        </c:rich>
      </c:tx>
      <c:layout>
        <c:manualLayout>
          <c:xMode val="edge"/>
          <c:yMode val="edge"/>
          <c:x val="0.74400004961840349"/>
          <c:y val="2.3667362600881345E-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1.9444444444444445E-2"/>
          <c:y val="1.8049645390070923E-2"/>
          <c:w val="0.76363888888888898"/>
          <c:h val="0.97485815602836878"/>
        </c:manualLayout>
      </c:layout>
      <c:pieChart>
        <c:varyColors val="1"/>
        <c:ser>
          <c:idx val="0"/>
          <c:order val="0"/>
          <c:tx>
            <c:strRef>
              <c:f>'Customer pivot'!$E$14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903-401C-9059-8A6345286EE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03-401C-9059-8A6345286EE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903-401C-9059-8A6345286EE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903-401C-9059-8A6345286EE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903-401C-9059-8A6345286EE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903-401C-9059-8A6345286EE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903-401C-9059-8A6345286EED}"/>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903-401C-9059-8A6345286EE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903-401C-9059-8A6345286EED}"/>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903-401C-9059-8A6345286EED}"/>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1903-401C-9059-8A6345286EED}"/>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1903-401C-9059-8A6345286E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pivot'!$D$15:$D$26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 pivot'!$E$15:$E$26</c:f>
              <c:numCache>
                <c:formatCode>General</c:formatCode>
                <c:ptCount val="12"/>
                <c:pt idx="0">
                  <c:v>33</c:v>
                </c:pt>
                <c:pt idx="1">
                  <c:v>32</c:v>
                </c:pt>
                <c:pt idx="2">
                  <c:v>39</c:v>
                </c:pt>
                <c:pt idx="3">
                  <c:v>36</c:v>
                </c:pt>
                <c:pt idx="4">
                  <c:v>35</c:v>
                </c:pt>
                <c:pt idx="5">
                  <c:v>38</c:v>
                </c:pt>
                <c:pt idx="6">
                  <c:v>26</c:v>
                </c:pt>
                <c:pt idx="7">
                  <c:v>33</c:v>
                </c:pt>
                <c:pt idx="8">
                  <c:v>32</c:v>
                </c:pt>
                <c:pt idx="9">
                  <c:v>37</c:v>
                </c:pt>
                <c:pt idx="10">
                  <c:v>30</c:v>
                </c:pt>
                <c:pt idx="11">
                  <c:v>49</c:v>
                </c:pt>
              </c:numCache>
            </c:numRef>
          </c:val>
          <c:extLst>
            <c:ext xmlns:c16="http://schemas.microsoft.com/office/drawing/2014/chart" uri="{C3380CC4-5D6E-409C-BE32-E72D297353CC}">
              <c16:uniqueId val="{00000018-1903-401C-9059-8A6345286EE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564829396325466"/>
          <c:y val="0.26522784385994308"/>
          <c:w val="0.14990726159230097"/>
          <c:h val="0.71809013235047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0007.xlsx]Customer pivot!PivotTable12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vs Segment </a:t>
            </a:r>
            <a:endParaRPr lang="en-US" b="1"/>
          </a:p>
        </c:rich>
      </c:tx>
      <c:layout>
        <c:manualLayout>
          <c:xMode val="edge"/>
          <c:yMode val="edge"/>
          <c:x val="0.517597112860892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32939632545931"/>
          <c:y val="0.12078703703703704"/>
          <c:w val="0.7344483814523185"/>
          <c:h val="0.79496172353455818"/>
        </c:manualLayout>
      </c:layout>
      <c:barChart>
        <c:barDir val="bar"/>
        <c:grouping val="clustered"/>
        <c:varyColors val="0"/>
        <c:ser>
          <c:idx val="0"/>
          <c:order val="0"/>
          <c:tx>
            <c:strRef>
              <c:f>'Customer pivot'!$H$15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 pivot'!$G$16:$G$35</c:f>
              <c:multiLvlStrCache>
                <c:ptCount val="15"/>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pt idx="12">
                    <c:v>Consumer</c:v>
                  </c:pt>
                  <c:pt idx="13">
                    <c:v>Corporate</c:v>
                  </c:pt>
                  <c:pt idx="14">
                    <c:v>Home Office</c:v>
                  </c:pt>
                </c:lvl>
                <c:lvl>
                  <c:pt idx="0">
                    <c:v>Central</c:v>
                  </c:pt>
                  <c:pt idx="3">
                    <c:v>East</c:v>
                  </c:pt>
                  <c:pt idx="6">
                    <c:v>North</c:v>
                  </c:pt>
                  <c:pt idx="9">
                    <c:v>South</c:v>
                  </c:pt>
                  <c:pt idx="12">
                    <c:v>West</c:v>
                  </c:pt>
                </c:lvl>
              </c:multiLvlStrCache>
            </c:multiLvlStrRef>
          </c:cat>
          <c:val>
            <c:numRef>
              <c:f>'Customer pivot'!$H$16:$H$35</c:f>
              <c:numCache>
                <c:formatCode>General</c:formatCode>
                <c:ptCount val="15"/>
                <c:pt idx="0">
                  <c:v>41</c:v>
                </c:pt>
                <c:pt idx="1">
                  <c:v>9</c:v>
                </c:pt>
                <c:pt idx="2">
                  <c:v>43</c:v>
                </c:pt>
                <c:pt idx="3">
                  <c:v>34</c:v>
                </c:pt>
                <c:pt idx="4">
                  <c:v>29</c:v>
                </c:pt>
                <c:pt idx="5">
                  <c:v>22</c:v>
                </c:pt>
                <c:pt idx="6">
                  <c:v>46</c:v>
                </c:pt>
                <c:pt idx="7">
                  <c:v>16</c:v>
                </c:pt>
                <c:pt idx="8">
                  <c:v>21</c:v>
                </c:pt>
                <c:pt idx="9">
                  <c:v>31</c:v>
                </c:pt>
                <c:pt idx="10">
                  <c:v>19</c:v>
                </c:pt>
                <c:pt idx="11">
                  <c:v>9</c:v>
                </c:pt>
                <c:pt idx="12">
                  <c:v>73</c:v>
                </c:pt>
                <c:pt idx="13">
                  <c:v>17</c:v>
                </c:pt>
                <c:pt idx="14">
                  <c:v>10</c:v>
                </c:pt>
              </c:numCache>
            </c:numRef>
          </c:val>
          <c:extLst>
            <c:ext xmlns:c16="http://schemas.microsoft.com/office/drawing/2014/chart" uri="{C3380CC4-5D6E-409C-BE32-E72D297353CC}">
              <c16:uniqueId val="{00000000-A431-47BA-8EFF-544C953F87C7}"/>
            </c:ext>
          </c:extLst>
        </c:ser>
        <c:dLbls>
          <c:dLblPos val="outEnd"/>
          <c:showLegendKey val="0"/>
          <c:showVal val="1"/>
          <c:showCatName val="0"/>
          <c:showSerName val="0"/>
          <c:showPercent val="0"/>
          <c:showBubbleSize val="0"/>
        </c:dLbls>
        <c:gapWidth val="182"/>
        <c:axId val="1958110703"/>
        <c:axId val="1958109743"/>
      </c:barChart>
      <c:catAx>
        <c:axId val="195811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09743"/>
        <c:crosses val="autoZero"/>
        <c:auto val="1"/>
        <c:lblAlgn val="ctr"/>
        <c:lblOffset val="100"/>
        <c:noMultiLvlLbl val="0"/>
      </c:catAx>
      <c:valAx>
        <c:axId val="1958109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1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 Analysis'!$D$14</c:f>
              <c:strCache>
                <c:ptCount val="1"/>
                <c:pt idx="0">
                  <c:v>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Analysis'!$B$15:$B$24</c:f>
              <c:strCache>
                <c:ptCount val="10"/>
                <c:pt idx="0">
                  <c:v>Bookshelf</c:v>
                </c:pt>
                <c:pt idx="1">
                  <c:v>Study Table</c:v>
                </c:pt>
                <c:pt idx="2">
                  <c:v>Bed Frame</c:v>
                </c:pt>
                <c:pt idx="3">
                  <c:v>Dinner Set</c:v>
                </c:pt>
                <c:pt idx="4">
                  <c:v>Vacuum Cleaner</c:v>
                </c:pt>
                <c:pt idx="5">
                  <c:v>Bean Bag</c:v>
                </c:pt>
                <c:pt idx="6">
                  <c:v>Office Chair</c:v>
                </c:pt>
                <c:pt idx="7">
                  <c:v>USB-C Charger</c:v>
                </c:pt>
                <c:pt idx="8">
                  <c:v>Table Lamp</c:v>
                </c:pt>
                <c:pt idx="9">
                  <c:v>Sofa Cover</c:v>
                </c:pt>
              </c:strCache>
            </c:strRef>
          </c:cat>
          <c:val>
            <c:numRef>
              <c:f>'Product Analysis'!$D$15:$D$24</c:f>
              <c:numCache>
                <c:formatCode>\₹#,##0</c:formatCode>
                <c:ptCount val="10"/>
                <c:pt idx="0">
                  <c:v>355677.49</c:v>
                </c:pt>
                <c:pt idx="1">
                  <c:v>351751.69</c:v>
                </c:pt>
                <c:pt idx="2">
                  <c:v>312388.87</c:v>
                </c:pt>
                <c:pt idx="3">
                  <c:v>288886.33</c:v>
                </c:pt>
                <c:pt idx="4">
                  <c:v>282782.28000000003</c:v>
                </c:pt>
                <c:pt idx="5">
                  <c:v>252725.73</c:v>
                </c:pt>
                <c:pt idx="6">
                  <c:v>222020.05</c:v>
                </c:pt>
                <c:pt idx="7">
                  <c:v>206299.55000000002</c:v>
                </c:pt>
                <c:pt idx="8">
                  <c:v>200736.83999999997</c:v>
                </c:pt>
                <c:pt idx="9">
                  <c:v>198090.86</c:v>
                </c:pt>
              </c:numCache>
            </c:numRef>
          </c:val>
          <c:extLst>
            <c:ext xmlns:c16="http://schemas.microsoft.com/office/drawing/2014/chart" uri="{C3380CC4-5D6E-409C-BE32-E72D297353CC}">
              <c16:uniqueId val="{00000000-573F-4ACD-8381-028C6DC13473}"/>
            </c:ext>
          </c:extLst>
        </c:ser>
        <c:dLbls>
          <c:dLblPos val="inEnd"/>
          <c:showLegendKey val="0"/>
          <c:showVal val="1"/>
          <c:showCatName val="0"/>
          <c:showSerName val="0"/>
          <c:showPercent val="0"/>
          <c:showBubbleSize val="0"/>
        </c:dLbls>
        <c:gapWidth val="65"/>
        <c:axId val="10051601"/>
        <c:axId val="58906264"/>
      </c:barChart>
      <c:catAx>
        <c:axId val="10051601"/>
        <c:scaling>
          <c:orientation val="minMax"/>
        </c:scaling>
        <c:delete val="0"/>
        <c:axPos val="l"/>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906264"/>
        <c:crosses val="autoZero"/>
        <c:auto val="1"/>
        <c:lblAlgn val="ctr"/>
        <c:lblOffset val="100"/>
        <c:noMultiLvlLbl val="0"/>
      </c:catAx>
      <c:valAx>
        <c:axId val="5890626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51601"/>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0007.xlsx]Product 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vs </a:t>
            </a:r>
            <a:br>
              <a:rPr lang="en-IN" b="1" baseline="0"/>
            </a:br>
            <a:r>
              <a:rPr lang="en-IN" b="1" baseline="0"/>
              <a:t>Profit vs </a:t>
            </a:r>
            <a:br>
              <a:rPr lang="en-IN" b="1" baseline="0"/>
            </a:br>
            <a:r>
              <a:rPr lang="en-IN" b="1" baseline="0"/>
              <a:t>Shipping cost</a:t>
            </a:r>
            <a:endParaRPr lang="en-IN" b="1"/>
          </a:p>
        </c:rich>
      </c:tx>
      <c:layout>
        <c:manualLayout>
          <c:xMode val="edge"/>
          <c:yMode val="edge"/>
          <c:x val="0.798381889763779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5402449693787"/>
          <c:y val="5.0925925925925923E-2"/>
          <c:w val="0.57616272965879267"/>
          <c:h val="0.89814814814814814"/>
        </c:manualLayout>
      </c:layout>
      <c:barChart>
        <c:barDir val="bar"/>
        <c:grouping val="clustered"/>
        <c:varyColors val="0"/>
        <c:ser>
          <c:idx val="0"/>
          <c:order val="0"/>
          <c:tx>
            <c:strRef>
              <c:f>'Product pivot'!$B$24</c:f>
              <c:strCache>
                <c:ptCount val="1"/>
                <c:pt idx="0">
                  <c:v>Sum of ShippingCost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pivot'!$A$25:$A$29</c:f>
              <c:strCache>
                <c:ptCount val="5"/>
                <c:pt idx="0">
                  <c:v>Clothing</c:v>
                </c:pt>
                <c:pt idx="1">
                  <c:v>Electronics</c:v>
                </c:pt>
                <c:pt idx="2">
                  <c:v>Furniture</c:v>
                </c:pt>
                <c:pt idx="3">
                  <c:v>Home &amp; Kitchen</c:v>
                </c:pt>
                <c:pt idx="4">
                  <c:v>Office Supplies</c:v>
                </c:pt>
              </c:strCache>
            </c:strRef>
          </c:cat>
          <c:val>
            <c:numRef>
              <c:f>'Product pivot'!$B$25:$B$29</c:f>
              <c:numCache>
                <c:formatCode>\₹#,##0</c:formatCode>
                <c:ptCount val="5"/>
                <c:pt idx="0">
                  <c:v>12668.360000000002</c:v>
                </c:pt>
                <c:pt idx="1">
                  <c:v>10673.349999999999</c:v>
                </c:pt>
                <c:pt idx="2">
                  <c:v>9255.7699999999986</c:v>
                </c:pt>
                <c:pt idx="3">
                  <c:v>12426.199999999999</c:v>
                </c:pt>
                <c:pt idx="4">
                  <c:v>12489.299999999997</c:v>
                </c:pt>
              </c:numCache>
            </c:numRef>
          </c:val>
          <c:extLst>
            <c:ext xmlns:c16="http://schemas.microsoft.com/office/drawing/2014/chart" uri="{C3380CC4-5D6E-409C-BE32-E72D297353CC}">
              <c16:uniqueId val="{00000007-9B4B-4F4F-A518-E2075294506D}"/>
            </c:ext>
          </c:extLst>
        </c:ser>
        <c:ser>
          <c:idx val="1"/>
          <c:order val="1"/>
          <c:tx>
            <c:strRef>
              <c:f>'Product pivot'!$C$24</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pivot'!$A$25:$A$29</c:f>
              <c:strCache>
                <c:ptCount val="5"/>
                <c:pt idx="0">
                  <c:v>Clothing</c:v>
                </c:pt>
                <c:pt idx="1">
                  <c:v>Electronics</c:v>
                </c:pt>
                <c:pt idx="2">
                  <c:v>Furniture</c:v>
                </c:pt>
                <c:pt idx="3">
                  <c:v>Home &amp; Kitchen</c:v>
                </c:pt>
                <c:pt idx="4">
                  <c:v>Office Supplies</c:v>
                </c:pt>
              </c:strCache>
            </c:strRef>
          </c:cat>
          <c:val>
            <c:numRef>
              <c:f>'Product pivot'!$C$25:$C$29</c:f>
              <c:numCache>
                <c:formatCode>\₹#,##0</c:formatCode>
                <c:ptCount val="5"/>
                <c:pt idx="0">
                  <c:v>775337.07000000007</c:v>
                </c:pt>
                <c:pt idx="1">
                  <c:v>1079968.98</c:v>
                </c:pt>
                <c:pt idx="2">
                  <c:v>2174930.5799999991</c:v>
                </c:pt>
                <c:pt idx="3">
                  <c:v>1563702.1999999995</c:v>
                </c:pt>
                <c:pt idx="4">
                  <c:v>206437.09999999998</c:v>
                </c:pt>
              </c:numCache>
            </c:numRef>
          </c:val>
          <c:extLst>
            <c:ext xmlns:c16="http://schemas.microsoft.com/office/drawing/2014/chart" uri="{C3380CC4-5D6E-409C-BE32-E72D297353CC}">
              <c16:uniqueId val="{00000008-9B4B-4F4F-A518-E2075294506D}"/>
            </c:ext>
          </c:extLst>
        </c:ser>
        <c:ser>
          <c:idx val="2"/>
          <c:order val="2"/>
          <c:tx>
            <c:strRef>
              <c:f>'Product pivot'!$D$24</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pivot'!$A$25:$A$29</c:f>
              <c:strCache>
                <c:ptCount val="5"/>
                <c:pt idx="0">
                  <c:v>Clothing</c:v>
                </c:pt>
                <c:pt idx="1">
                  <c:v>Electronics</c:v>
                </c:pt>
                <c:pt idx="2">
                  <c:v>Furniture</c:v>
                </c:pt>
                <c:pt idx="3">
                  <c:v>Home &amp; Kitchen</c:v>
                </c:pt>
                <c:pt idx="4">
                  <c:v>Office Supplies</c:v>
                </c:pt>
              </c:strCache>
            </c:strRef>
          </c:cat>
          <c:val>
            <c:numRef>
              <c:f>'Product pivot'!$D$25:$D$29</c:f>
              <c:numCache>
                <c:formatCode>\₹#,##0</c:formatCode>
                <c:ptCount val="5"/>
                <c:pt idx="0">
                  <c:v>211497.55999999997</c:v>
                </c:pt>
                <c:pt idx="1">
                  <c:v>286935.46999999997</c:v>
                </c:pt>
                <c:pt idx="2">
                  <c:v>687192.42999999982</c:v>
                </c:pt>
                <c:pt idx="3">
                  <c:v>415643.39999999991</c:v>
                </c:pt>
                <c:pt idx="4">
                  <c:v>54896.72</c:v>
                </c:pt>
              </c:numCache>
            </c:numRef>
          </c:val>
          <c:extLst>
            <c:ext xmlns:c16="http://schemas.microsoft.com/office/drawing/2014/chart" uri="{C3380CC4-5D6E-409C-BE32-E72D297353CC}">
              <c16:uniqueId val="{00000009-9B4B-4F4F-A518-E2075294506D}"/>
            </c:ext>
          </c:extLst>
        </c:ser>
        <c:dLbls>
          <c:dLblPos val="outEnd"/>
          <c:showLegendKey val="0"/>
          <c:showVal val="1"/>
          <c:showCatName val="0"/>
          <c:showSerName val="0"/>
          <c:showPercent val="0"/>
          <c:showBubbleSize val="0"/>
        </c:dLbls>
        <c:gapWidth val="182"/>
        <c:axId val="1243340031"/>
        <c:axId val="1243323711"/>
      </c:barChart>
      <c:catAx>
        <c:axId val="124334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23711"/>
        <c:crosses val="autoZero"/>
        <c:auto val="1"/>
        <c:lblAlgn val="ctr"/>
        <c:lblOffset val="100"/>
        <c:noMultiLvlLbl val="0"/>
      </c:catAx>
      <c:valAx>
        <c:axId val="1243323711"/>
        <c:scaling>
          <c:orientation val="minMax"/>
        </c:scaling>
        <c:delete val="1"/>
        <c:axPos val="b"/>
        <c:numFmt formatCode="\₹#,##0" sourceLinked="1"/>
        <c:majorTickMark val="none"/>
        <c:minorTickMark val="none"/>
        <c:tickLblPos val="nextTo"/>
        <c:crossAx val="1243340031"/>
        <c:crosses val="autoZero"/>
        <c:crossBetween val="between"/>
      </c:valAx>
      <c:spPr>
        <a:noFill/>
        <a:ln>
          <a:noFill/>
        </a:ln>
        <a:effectLst/>
      </c:spPr>
    </c:plotArea>
    <c:legend>
      <c:legendPos val="r"/>
      <c:layout>
        <c:manualLayout>
          <c:xMode val="edge"/>
          <c:yMode val="edge"/>
          <c:x val="0.83332786526684177"/>
          <c:y val="0.35040427238261884"/>
          <c:w val="0.16667219012297194"/>
          <c:h val="0.24545626342161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a:t>
            </a:r>
            <a:r>
              <a:rPr lang="en-US" baseline="0"/>
              <a:t> 10 Products Sales</a:t>
            </a:r>
            <a:endParaRPr lang="en-US"/>
          </a:p>
        </c:rich>
      </c:tx>
      <c:layout>
        <c:manualLayout>
          <c:xMode val="edge"/>
          <c:yMode val="edge"/>
          <c:x val="0.17806066808994347"/>
          <c:y val="2.8553420069803103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9.609949232551851E-2"/>
          <c:y val="6.7607607229473052E-2"/>
          <c:w val="0.72583241905021556"/>
          <c:h val="0.93239231125521072"/>
        </c:manualLayout>
      </c:layout>
      <c:pieChart>
        <c:varyColors val="1"/>
        <c:ser>
          <c:idx val="0"/>
          <c:order val="0"/>
          <c:tx>
            <c:strRef>
              <c:f>'Product pivot'!$B$2</c:f>
              <c:strCache>
                <c:ptCount val="1"/>
                <c:pt idx="0">
                  <c:v>Sum of Sales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018-4131-A2AF-DD75D19E880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018-4131-A2AF-DD75D19E880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018-4131-A2AF-DD75D19E880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018-4131-A2AF-DD75D19E880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018-4131-A2AF-DD75D19E880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018-4131-A2AF-DD75D19E880D}"/>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018-4131-A2AF-DD75D19E880D}"/>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018-4131-A2AF-DD75D19E880D}"/>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E018-4131-A2AF-DD75D19E880D}"/>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018-4131-A2AF-DD75D19E880D}"/>
              </c:ext>
            </c:extLst>
          </c:dPt>
          <c:dLbls>
            <c:dLbl>
              <c:idx val="0"/>
              <c:layout>
                <c:manualLayout>
                  <c:x val="-0.1069936893683944"/>
                  <c:y val="0.15887840327179226"/>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B9A8855-CD2C-4A69-A252-96073F43D8A1}" type="CATEGORYNAME">
                      <a:rPr lang="en-US" b="1">
                        <a:solidFill>
                          <a:schemeClr val="tx1"/>
                        </a:solidFill>
                      </a:rPr>
                      <a:pPr>
                        <a:defRPr/>
                      </a:pPr>
                      <a:t>[CATEGORY NAME]</a:t>
                    </a:fld>
                    <a:r>
                      <a:rPr lang="en-US" b="1" baseline="0">
                        <a:solidFill>
                          <a:schemeClr val="tx1"/>
                        </a:solidFill>
                      </a:rPr>
                      <a:t>
</a:t>
                    </a:r>
                    <a:fld id="{58FCCAAC-3004-4F80-8CE0-CBEF0B04EB3D}"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774467943405162"/>
                      <c:h val="0.14085298161259252"/>
                    </c:manualLayout>
                  </c15:layout>
                  <c15:dlblFieldTable/>
                  <c15:showDataLabelsRange val="0"/>
                </c:ext>
                <c:ext xmlns:c16="http://schemas.microsoft.com/office/drawing/2014/chart" uri="{C3380CC4-5D6E-409C-BE32-E72D297353CC}">
                  <c16:uniqueId val="{00000001-E018-4131-A2AF-DD75D19E880D}"/>
                </c:ext>
              </c:extLst>
            </c:dLbl>
            <c:dLbl>
              <c:idx val="1"/>
              <c:layout>
                <c:manualLayout>
                  <c:x val="-0.18244421360703292"/>
                  <c:y val="0.1108840806663872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12C6EDEB-27C7-49CD-BA42-807C1EA513AD}" type="CATEGORYNAME">
                      <a:rPr lang="en-US" b="1">
                        <a:solidFill>
                          <a:schemeClr val="tx1"/>
                        </a:solidFill>
                      </a:rPr>
                      <a:pPr>
                        <a:defRPr/>
                      </a:pPr>
                      <a:t>[CATEGORY NAME]</a:t>
                    </a:fld>
                    <a:r>
                      <a:rPr lang="en-US" b="1" baseline="0">
                        <a:solidFill>
                          <a:schemeClr val="tx1"/>
                        </a:solidFill>
                      </a:rPr>
                      <a:t>
</a:t>
                    </a:r>
                    <a:fld id="{3FF94CDB-B16C-44F5-8E49-5D5A8FB58E13}"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48226601349751"/>
                      <c:h val="0.11216127395840225"/>
                    </c:manualLayout>
                  </c15:layout>
                  <c15:dlblFieldTable/>
                  <c15:showDataLabelsRange val="0"/>
                </c:ext>
                <c:ext xmlns:c16="http://schemas.microsoft.com/office/drawing/2014/chart" uri="{C3380CC4-5D6E-409C-BE32-E72D297353CC}">
                  <c16:uniqueId val="{00000003-E018-4131-A2AF-DD75D19E880D}"/>
                </c:ext>
              </c:extLst>
            </c:dLbl>
            <c:dLbl>
              <c:idx val="2"/>
              <c:layout>
                <c:manualLayout>
                  <c:x val="-0.16165940094398071"/>
                  <c:y val="-0.1464174095671967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77A429C-85ED-4BCD-9659-F2AA9C66AE86}" type="CATEGORYNAME">
                      <a:rPr lang="en-US" b="1">
                        <a:solidFill>
                          <a:schemeClr val="tx1"/>
                        </a:solidFill>
                      </a:rPr>
                      <a:pPr>
                        <a:defRPr/>
                      </a:pPr>
                      <a:t>[CATEGORY NAME]</a:t>
                    </a:fld>
                    <a:r>
                      <a:rPr lang="en-US" baseline="0"/>
                      <a:t>
</a:t>
                    </a:r>
                    <a:fld id="{33651A0F-610A-42C2-A653-B44DE3EB7FBD}" type="PERCENTAGE">
                      <a:rPr lang="en-US" b="1" baseline="0">
                        <a:solidFill>
                          <a:schemeClr val="tx1"/>
                        </a:solidFill>
                      </a:rPr>
                      <a:pPr>
                        <a:defRPr/>
                      </a:pPr>
                      <a:t>[PERCENTAGE]</a:t>
                    </a:fld>
                    <a:endParaRPr lang="en-US" baseline="0"/>
                  </a:p>
                </c:rich>
              </c:tx>
              <c:spPr>
                <a:noFill/>
                <a:ln w="952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29712863145321"/>
                      <c:h val="7.8547825803265928E-2"/>
                    </c:manualLayout>
                  </c15:layout>
                  <c15:dlblFieldTable/>
                  <c15:showDataLabelsRange val="0"/>
                </c:ext>
                <c:ext xmlns:c16="http://schemas.microsoft.com/office/drawing/2014/chart" uri="{C3380CC4-5D6E-409C-BE32-E72D297353CC}">
                  <c16:uniqueId val="{00000005-E018-4131-A2AF-DD75D19E880D}"/>
                </c:ext>
              </c:extLst>
            </c:dLbl>
            <c:dLbl>
              <c:idx val="3"/>
              <c:layout>
                <c:manualLayout>
                  <c:x val="-0.14878397711015737"/>
                  <c:y val="-0.16355136175059221"/>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92BA196-C542-4ED8-AB33-364ED7D6D480}" type="CATEGORYNAME">
                      <a:rPr lang="en-US" b="1">
                        <a:solidFill>
                          <a:schemeClr val="tx1"/>
                        </a:solidFill>
                      </a:rPr>
                      <a:pPr>
                        <a:defRPr/>
                      </a:pPr>
                      <a:t>[CATEGORY NAME]</a:t>
                    </a:fld>
                    <a:r>
                      <a:rPr lang="en-US" b="1" baseline="0">
                        <a:solidFill>
                          <a:schemeClr val="tx1"/>
                        </a:solidFill>
                      </a:rPr>
                      <a:t>
</a:t>
                    </a:r>
                    <a:fld id="{34C0B797-EACC-4B4D-9CA7-AF120E2E1FAC}"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812026179131042"/>
                      <c:h val="0.14396837050350267"/>
                    </c:manualLayout>
                  </c15:layout>
                  <c15:dlblFieldTable/>
                  <c15:showDataLabelsRange val="0"/>
                </c:ext>
                <c:ext xmlns:c16="http://schemas.microsoft.com/office/drawing/2014/chart" uri="{C3380CC4-5D6E-409C-BE32-E72D297353CC}">
                  <c16:uniqueId val="{00000007-E018-4131-A2AF-DD75D19E880D}"/>
                </c:ext>
              </c:extLst>
            </c:dLbl>
            <c:dLbl>
              <c:idx val="4"/>
              <c:layout>
                <c:manualLayout>
                  <c:x val="0.11158798283261796"/>
                  <c:y val="-7.476633680027075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5F62BE94-1098-44FE-9185-2AE4EF60AC70}" type="CATEGORYNAME">
                      <a:rPr lang="en-US" b="1">
                        <a:solidFill>
                          <a:schemeClr val="tx1"/>
                        </a:solidFill>
                      </a:rPr>
                      <a:pPr>
                        <a:defRPr/>
                      </a:pPr>
                      <a:t>[CATEGORY NAME]</a:t>
                    </a:fld>
                    <a:r>
                      <a:rPr lang="en-US" b="1" baseline="0">
                        <a:solidFill>
                          <a:schemeClr val="tx1"/>
                        </a:solidFill>
                      </a:rPr>
                      <a:t>
</a:t>
                    </a:r>
                    <a:fld id="{BFF6AF1D-3D2C-4A71-92F3-67109CE0E543}"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42524190913901"/>
                      <c:h val="0.12216152227009043"/>
                    </c:manualLayout>
                  </c15:layout>
                  <c15:dlblFieldTable/>
                  <c15:showDataLabelsRange val="0"/>
                </c:ext>
                <c:ext xmlns:c16="http://schemas.microsoft.com/office/drawing/2014/chart" uri="{C3380CC4-5D6E-409C-BE32-E72D297353CC}">
                  <c16:uniqueId val="{00000009-E018-4131-A2AF-DD75D19E880D}"/>
                </c:ext>
              </c:extLst>
            </c:dLbl>
            <c:dLbl>
              <c:idx val="5"/>
              <c:layout>
                <c:manualLayout>
                  <c:x val="0.17024320457796852"/>
                  <c:y val="-0.16199385238210995"/>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4C03C458-9DC8-413B-BD3D-01032DA88DBB}" type="CATEGORYNAME">
                      <a:rPr lang="en-US" b="1">
                        <a:solidFill>
                          <a:schemeClr val="tx1"/>
                        </a:solidFill>
                      </a:rPr>
                      <a:pPr>
                        <a:defRPr/>
                      </a:pPr>
                      <a:t>[CATEGORY NAME]</a:t>
                    </a:fld>
                    <a:r>
                      <a:rPr lang="en-US" b="1" baseline="0">
                        <a:solidFill>
                          <a:schemeClr val="tx1"/>
                        </a:solidFill>
                      </a:rPr>
                      <a:t>
</a:t>
                    </a:r>
                    <a:fld id="{C4127E59-29F3-41AB-8BB6-1ED2CFB3E9A1}"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816746082705327"/>
                      <c:h val="0.109700466136712"/>
                    </c:manualLayout>
                  </c15:layout>
                  <c15:dlblFieldTable/>
                  <c15:showDataLabelsRange val="0"/>
                </c:ext>
                <c:ext xmlns:c16="http://schemas.microsoft.com/office/drawing/2014/chart" uri="{C3380CC4-5D6E-409C-BE32-E72D297353CC}">
                  <c16:uniqueId val="{0000000B-E018-4131-A2AF-DD75D19E880D}"/>
                </c:ext>
              </c:extLst>
            </c:dLbl>
            <c:dLbl>
              <c:idx val="6"/>
              <c:layout>
                <c:manualLayout>
                  <c:x val="0.10586555965246142"/>
                  <c:y val="-1.746118028922253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BFDA652-8EA2-43BD-8741-921C7E22B9BE}" type="CATEGORYNAME">
                      <a:rPr lang="en-US" b="1">
                        <a:solidFill>
                          <a:schemeClr val="tx1"/>
                        </a:solidFill>
                      </a:rPr>
                      <a:pPr>
                        <a:defRPr/>
                      </a:pPr>
                      <a:t>[CATEGORY NAME]</a:t>
                    </a:fld>
                    <a:r>
                      <a:rPr lang="en-US" b="1" baseline="0">
                        <a:solidFill>
                          <a:schemeClr val="tx1"/>
                        </a:solidFill>
                      </a:rPr>
                      <a:t>
</a:t>
                    </a:r>
                    <a:fld id="{570C50FE-3595-428E-8F9E-8988C4794F4D}"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561473256571159"/>
                      <c:h val="0.11216127395840225"/>
                    </c:manualLayout>
                  </c15:layout>
                  <c15:dlblFieldTable/>
                  <c15:showDataLabelsRange val="0"/>
                </c:ext>
                <c:ext xmlns:c16="http://schemas.microsoft.com/office/drawing/2014/chart" uri="{C3380CC4-5D6E-409C-BE32-E72D297353CC}">
                  <c16:uniqueId val="{0000000D-E018-4131-A2AF-DD75D19E880D}"/>
                </c:ext>
              </c:extLst>
            </c:dLbl>
            <c:dLbl>
              <c:idx val="7"/>
              <c:layout>
                <c:manualLayout>
                  <c:x val="0.1209279448111532"/>
                  <c:y val="9.158178757067131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BB9E5F6-50C5-4299-9283-41C36E6C63C2}" type="CATEGORYNAME">
                      <a:rPr lang="en-US" b="1">
                        <a:solidFill>
                          <a:schemeClr val="tx1"/>
                        </a:solidFill>
                      </a:rPr>
                      <a:pPr>
                        <a:defRPr/>
                      </a:pPr>
                      <a:t>[CATEGORY NAME]</a:t>
                    </a:fld>
                    <a:r>
                      <a:rPr lang="en-US" b="1" baseline="0">
                        <a:solidFill>
                          <a:schemeClr val="tx1"/>
                        </a:solidFill>
                      </a:rPr>
                      <a:t>
</a:t>
                    </a:r>
                    <a:fld id="{6D8D289E-AF78-4C5B-9234-CCE82542116C}"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90536537010127"/>
                      <c:h val="9.7239410003333582E-2"/>
                    </c:manualLayout>
                  </c15:layout>
                  <c15:dlblFieldTable/>
                  <c15:showDataLabelsRange val="0"/>
                </c:ext>
                <c:ext xmlns:c16="http://schemas.microsoft.com/office/drawing/2014/chart" uri="{C3380CC4-5D6E-409C-BE32-E72D297353CC}">
                  <c16:uniqueId val="{0000000F-E018-4131-A2AF-DD75D19E880D}"/>
                </c:ext>
              </c:extLst>
            </c:dLbl>
            <c:dLbl>
              <c:idx val="8"/>
              <c:layout>
                <c:manualLayout>
                  <c:x val="0.12875536480686697"/>
                  <c:y val="0.12616819335045665"/>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4C94E19D-3EEB-45CB-AAB7-02C2ECFAA6A1}" type="CATEGORYNAME">
                      <a:rPr lang="en-US" b="1">
                        <a:solidFill>
                          <a:schemeClr val="tx1"/>
                        </a:solidFill>
                      </a:rPr>
                      <a:pPr>
                        <a:defRPr/>
                      </a:pPr>
                      <a:t>[CATEGORY NAME]</a:t>
                    </a:fld>
                    <a:r>
                      <a:rPr lang="en-US" b="1" baseline="0">
                        <a:solidFill>
                          <a:schemeClr val="tx1"/>
                        </a:solidFill>
                      </a:rPr>
                      <a:t>
</a:t>
                    </a:r>
                    <a:fld id="{B1049095-6225-4560-AE2A-AC0CB9C5814F}"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01566917869173"/>
                      <c:h val="0.11281573017005662"/>
                    </c:manualLayout>
                  </c15:layout>
                  <c15:dlblFieldTable/>
                  <c15:showDataLabelsRange val="0"/>
                </c:ext>
                <c:ext xmlns:c16="http://schemas.microsoft.com/office/drawing/2014/chart" uri="{C3380CC4-5D6E-409C-BE32-E72D297353CC}">
                  <c16:uniqueId val="{00000011-E018-4131-A2AF-DD75D19E880D}"/>
                </c:ext>
              </c:extLst>
            </c:dLbl>
            <c:dLbl>
              <c:idx val="9"/>
              <c:layout>
                <c:manualLayout>
                  <c:x val="8.0114408775826054E-2"/>
                  <c:y val="0.1459558990311396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40BF3685-2E15-400E-82D3-3F6A7743D4D4}" type="CATEGORYNAME">
                      <a:rPr lang="en-US" b="1">
                        <a:solidFill>
                          <a:schemeClr val="tx1"/>
                        </a:solidFill>
                      </a:rPr>
                      <a:pPr>
                        <a:defRPr/>
                      </a:pPr>
                      <a:t>[CATEGORY NAME]</a:t>
                    </a:fld>
                    <a:r>
                      <a:rPr lang="en-US" b="1" baseline="0">
                        <a:solidFill>
                          <a:schemeClr val="tx1"/>
                        </a:solidFill>
                      </a:rPr>
                      <a:t>
</a:t>
                    </a:r>
                    <a:fld id="{DB8F9416-15A4-4C8E-BAE8-7CD3FD018E4B}" type="PERCENTAGE">
                      <a:rPr lang="en-US" b="1" baseline="0">
                        <a:solidFill>
                          <a:schemeClr val="tx1"/>
                        </a:solidFill>
                      </a:rPr>
                      <a:pPr>
                        <a:defRPr/>
                      </a:pPr>
                      <a:t>[PERCENTAGE]</a:t>
                    </a:fld>
                    <a:endParaRPr lang="en-US" b="1" baseline="0">
                      <a:solidFill>
                        <a:schemeClr val="tx1"/>
                      </a:solidFill>
                    </a:endParaRPr>
                  </a:p>
                </c:rich>
              </c:tx>
              <c:spPr>
                <a:no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59060750453402"/>
                      <c:h val="0.13462257840346889"/>
                    </c:manualLayout>
                  </c15:layout>
                  <c15:dlblFieldTable/>
                  <c15:showDataLabelsRange val="0"/>
                </c:ext>
                <c:ext xmlns:c16="http://schemas.microsoft.com/office/drawing/2014/chart" uri="{C3380CC4-5D6E-409C-BE32-E72D297353CC}">
                  <c16:uniqueId val="{00000013-E018-4131-A2AF-DD75D19E880D}"/>
                </c:ext>
              </c:extLst>
            </c:dLbl>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pivot'!$A$3:$A$12</c:f>
              <c:strCache>
                <c:ptCount val="10"/>
                <c:pt idx="0">
                  <c:v>Bookshelf</c:v>
                </c:pt>
                <c:pt idx="1">
                  <c:v>Study Table</c:v>
                </c:pt>
                <c:pt idx="2">
                  <c:v>Bed Frame</c:v>
                </c:pt>
                <c:pt idx="3">
                  <c:v>Dinner Set</c:v>
                </c:pt>
                <c:pt idx="4">
                  <c:v>Vacuum Cleaner</c:v>
                </c:pt>
                <c:pt idx="5">
                  <c:v>Bean Bag</c:v>
                </c:pt>
                <c:pt idx="6">
                  <c:v>Office Chair</c:v>
                </c:pt>
                <c:pt idx="7">
                  <c:v>USB-C Charger</c:v>
                </c:pt>
                <c:pt idx="8">
                  <c:v>Table Lamp</c:v>
                </c:pt>
                <c:pt idx="9">
                  <c:v>Sofa Cover</c:v>
                </c:pt>
              </c:strCache>
            </c:strRef>
          </c:cat>
          <c:val>
            <c:numRef>
              <c:f>'Product pivot'!$B$3:$B$12</c:f>
              <c:numCache>
                <c:formatCode>\₹#,##0</c:formatCode>
                <c:ptCount val="10"/>
                <c:pt idx="0">
                  <c:v>355677.49</c:v>
                </c:pt>
                <c:pt idx="1">
                  <c:v>351751.69</c:v>
                </c:pt>
                <c:pt idx="2">
                  <c:v>312388.87</c:v>
                </c:pt>
                <c:pt idx="3">
                  <c:v>288886.33</c:v>
                </c:pt>
                <c:pt idx="4">
                  <c:v>282782.28000000003</c:v>
                </c:pt>
                <c:pt idx="5">
                  <c:v>252725.73</c:v>
                </c:pt>
                <c:pt idx="6">
                  <c:v>222020.05</c:v>
                </c:pt>
                <c:pt idx="7">
                  <c:v>206299.55000000002</c:v>
                </c:pt>
                <c:pt idx="8">
                  <c:v>200736.83999999997</c:v>
                </c:pt>
                <c:pt idx="9">
                  <c:v>198090.86</c:v>
                </c:pt>
              </c:numCache>
            </c:numRef>
          </c:val>
          <c:extLst>
            <c:ext xmlns:c16="http://schemas.microsoft.com/office/drawing/2014/chart" uri="{C3380CC4-5D6E-409C-BE32-E72D297353CC}">
              <c16:uniqueId val="{00000014-E018-4131-A2AF-DD75D19E880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0007.xlsx]Product pivot!PivotTable6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Segment</a:t>
            </a:r>
            <a:br>
              <a:rPr lang="en-IN"/>
            </a:br>
            <a:r>
              <a:rPr lang="en-IN"/>
              <a:t>vs</a:t>
            </a:r>
            <a:r>
              <a:rPr lang="en-IN" baseline="0"/>
              <a:t> </a:t>
            </a:r>
            <a:br>
              <a:rPr lang="en-IN" baseline="0"/>
            </a:br>
            <a:r>
              <a:rPr lang="en-IN" baseline="0"/>
              <a:t>Category</a:t>
            </a:r>
            <a:endParaRPr lang="en-IN"/>
          </a:p>
        </c:rich>
      </c:tx>
      <c:layout>
        <c:manualLayout>
          <c:xMode val="edge"/>
          <c:yMode val="edge"/>
          <c:x val="0.77245822397200359"/>
          <c:y val="0.111111111111111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7624671916011"/>
          <c:y val="5.0925925925925923E-2"/>
          <c:w val="0.6308853893263342"/>
          <c:h val="0.8416746864975212"/>
        </c:manualLayout>
      </c:layout>
      <c:barChart>
        <c:barDir val="bar"/>
        <c:grouping val="clustered"/>
        <c:varyColors val="0"/>
        <c:ser>
          <c:idx val="0"/>
          <c:order val="0"/>
          <c:tx>
            <c:strRef>
              <c:f>'Product pivot'!$F$17:$F$18</c:f>
              <c:strCache>
                <c:ptCount val="1"/>
                <c:pt idx="0">
                  <c:v>Consumer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pivot'!$E$19:$E$23</c:f>
              <c:strCache>
                <c:ptCount val="5"/>
                <c:pt idx="0">
                  <c:v>Clothing</c:v>
                </c:pt>
                <c:pt idx="1">
                  <c:v>Electronics</c:v>
                </c:pt>
                <c:pt idx="2">
                  <c:v>Furniture</c:v>
                </c:pt>
                <c:pt idx="3">
                  <c:v>Home &amp; Kitchen</c:v>
                </c:pt>
                <c:pt idx="4">
                  <c:v>Office Supplies</c:v>
                </c:pt>
              </c:strCache>
            </c:strRef>
          </c:cat>
          <c:val>
            <c:numRef>
              <c:f>'Product pivot'!$F$19:$F$23</c:f>
              <c:numCache>
                <c:formatCode>General</c:formatCode>
                <c:ptCount val="5"/>
                <c:pt idx="0">
                  <c:v>52</c:v>
                </c:pt>
                <c:pt idx="1">
                  <c:v>42</c:v>
                </c:pt>
                <c:pt idx="2">
                  <c:v>35</c:v>
                </c:pt>
                <c:pt idx="3">
                  <c:v>48</c:v>
                </c:pt>
                <c:pt idx="4">
                  <c:v>48</c:v>
                </c:pt>
              </c:numCache>
            </c:numRef>
          </c:val>
          <c:extLst>
            <c:ext xmlns:c16="http://schemas.microsoft.com/office/drawing/2014/chart" uri="{C3380CC4-5D6E-409C-BE32-E72D297353CC}">
              <c16:uniqueId val="{00000000-F879-4767-AB35-E9943EC9043D}"/>
            </c:ext>
          </c:extLst>
        </c:ser>
        <c:ser>
          <c:idx val="1"/>
          <c:order val="1"/>
          <c:tx>
            <c:strRef>
              <c:f>'Product pivot'!$G$17:$G$18</c:f>
              <c:strCache>
                <c:ptCount val="1"/>
                <c:pt idx="0">
                  <c:v>Corporate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pivot'!$E$19:$E$23</c:f>
              <c:strCache>
                <c:ptCount val="5"/>
                <c:pt idx="0">
                  <c:v>Clothing</c:v>
                </c:pt>
                <c:pt idx="1">
                  <c:v>Electronics</c:v>
                </c:pt>
                <c:pt idx="2">
                  <c:v>Furniture</c:v>
                </c:pt>
                <c:pt idx="3">
                  <c:v>Home &amp; Kitchen</c:v>
                </c:pt>
                <c:pt idx="4">
                  <c:v>Office Supplies</c:v>
                </c:pt>
              </c:strCache>
            </c:strRef>
          </c:cat>
          <c:val>
            <c:numRef>
              <c:f>'Product pivot'!$G$19:$G$23</c:f>
              <c:numCache>
                <c:formatCode>General</c:formatCode>
                <c:ptCount val="5"/>
                <c:pt idx="0">
                  <c:v>24</c:v>
                </c:pt>
                <c:pt idx="1">
                  <c:v>14</c:v>
                </c:pt>
                <c:pt idx="2">
                  <c:v>16</c:v>
                </c:pt>
                <c:pt idx="3">
                  <c:v>22</c:v>
                </c:pt>
                <c:pt idx="4">
                  <c:v>14</c:v>
                </c:pt>
              </c:numCache>
            </c:numRef>
          </c:val>
          <c:extLst>
            <c:ext xmlns:c16="http://schemas.microsoft.com/office/drawing/2014/chart" uri="{C3380CC4-5D6E-409C-BE32-E72D297353CC}">
              <c16:uniqueId val="{00000006-F879-4767-AB35-E9943EC9043D}"/>
            </c:ext>
          </c:extLst>
        </c:ser>
        <c:ser>
          <c:idx val="2"/>
          <c:order val="2"/>
          <c:tx>
            <c:strRef>
              <c:f>'Product pivot'!$H$17:$H$18</c:f>
              <c:strCache>
                <c:ptCount val="1"/>
                <c:pt idx="0">
                  <c:v>Home Office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pivot'!$E$19:$E$23</c:f>
              <c:strCache>
                <c:ptCount val="5"/>
                <c:pt idx="0">
                  <c:v>Clothing</c:v>
                </c:pt>
                <c:pt idx="1">
                  <c:v>Electronics</c:v>
                </c:pt>
                <c:pt idx="2">
                  <c:v>Furniture</c:v>
                </c:pt>
                <c:pt idx="3">
                  <c:v>Home &amp; Kitchen</c:v>
                </c:pt>
                <c:pt idx="4">
                  <c:v>Office Supplies</c:v>
                </c:pt>
              </c:strCache>
            </c:strRef>
          </c:cat>
          <c:val>
            <c:numRef>
              <c:f>'Product pivot'!$H$19:$H$23</c:f>
              <c:numCache>
                <c:formatCode>General</c:formatCode>
                <c:ptCount val="5"/>
                <c:pt idx="0">
                  <c:v>19</c:v>
                </c:pt>
                <c:pt idx="1">
                  <c:v>19</c:v>
                </c:pt>
                <c:pt idx="2">
                  <c:v>17</c:v>
                </c:pt>
                <c:pt idx="3">
                  <c:v>23</c:v>
                </c:pt>
                <c:pt idx="4">
                  <c:v>27</c:v>
                </c:pt>
              </c:numCache>
            </c:numRef>
          </c:val>
          <c:extLst>
            <c:ext xmlns:c16="http://schemas.microsoft.com/office/drawing/2014/chart" uri="{C3380CC4-5D6E-409C-BE32-E72D297353CC}">
              <c16:uniqueId val="{00000007-F879-4767-AB35-E9943EC9043D}"/>
            </c:ext>
          </c:extLst>
        </c:ser>
        <c:dLbls>
          <c:dLblPos val="inEnd"/>
          <c:showLegendKey val="0"/>
          <c:showVal val="1"/>
          <c:showCatName val="0"/>
          <c:showSerName val="0"/>
          <c:showPercent val="0"/>
          <c:showBubbleSize val="0"/>
        </c:dLbls>
        <c:gapWidth val="65"/>
        <c:axId val="1465529711"/>
        <c:axId val="1465530191"/>
      </c:barChart>
      <c:catAx>
        <c:axId val="14655297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5530191"/>
        <c:crosses val="autoZero"/>
        <c:auto val="1"/>
        <c:lblAlgn val="ctr"/>
        <c:lblOffset val="100"/>
        <c:noMultiLvlLbl val="0"/>
      </c:catAx>
      <c:valAx>
        <c:axId val="1465530191"/>
        <c:scaling>
          <c:orientation val="minMax"/>
        </c:scaling>
        <c:delete val="1"/>
        <c:axPos val="b"/>
        <c:numFmt formatCode="General" sourceLinked="1"/>
        <c:majorTickMark val="none"/>
        <c:minorTickMark val="none"/>
        <c:tickLblPos val="nextTo"/>
        <c:crossAx val="1465529711"/>
        <c:crosses val="autoZero"/>
        <c:crossBetween val="between"/>
      </c:valAx>
      <c:spPr>
        <a:noFill/>
        <a:ln>
          <a:noFill/>
        </a:ln>
        <a:effectLst/>
      </c:spPr>
    </c:plotArea>
    <c:legend>
      <c:legendPos val="r"/>
      <c:layout>
        <c:manualLayout>
          <c:xMode val="edge"/>
          <c:yMode val="edge"/>
          <c:x val="0.83405052493438314"/>
          <c:y val="0.59577464275298919"/>
          <c:w val="0.16594950279102436"/>
          <c:h val="0.2428074548235427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0007.xlsx]Product 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vs profits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98472890050226"/>
          <c:y val="0.1115277777777778"/>
          <c:w val="0.80623090538863895"/>
          <c:h val="0.85051727909011376"/>
        </c:manualLayout>
      </c:layout>
      <c:barChart>
        <c:barDir val="bar"/>
        <c:grouping val="clustered"/>
        <c:varyColors val="0"/>
        <c:ser>
          <c:idx val="0"/>
          <c:order val="0"/>
          <c:tx>
            <c:strRef>
              <c:f>'Product pivot'!$B$15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pivot'!$A$16:$A$20</c:f>
              <c:strCache>
                <c:ptCount val="5"/>
                <c:pt idx="0">
                  <c:v>Clothing</c:v>
                </c:pt>
                <c:pt idx="1">
                  <c:v>Electronics</c:v>
                </c:pt>
                <c:pt idx="2">
                  <c:v>Furniture</c:v>
                </c:pt>
                <c:pt idx="3">
                  <c:v>Home &amp; Kitchen</c:v>
                </c:pt>
                <c:pt idx="4">
                  <c:v>Office Supplies</c:v>
                </c:pt>
              </c:strCache>
            </c:strRef>
          </c:cat>
          <c:val>
            <c:numRef>
              <c:f>'Product pivot'!$B$16:$B$20</c:f>
              <c:numCache>
                <c:formatCode>General</c:formatCode>
                <c:ptCount val="5"/>
                <c:pt idx="0">
                  <c:v>625</c:v>
                </c:pt>
                <c:pt idx="1">
                  <c:v>496</c:v>
                </c:pt>
                <c:pt idx="2">
                  <c:v>439</c:v>
                </c:pt>
                <c:pt idx="3">
                  <c:v>635</c:v>
                </c:pt>
                <c:pt idx="4">
                  <c:v>569</c:v>
                </c:pt>
              </c:numCache>
            </c:numRef>
          </c:val>
          <c:extLst>
            <c:ext xmlns:c16="http://schemas.microsoft.com/office/drawing/2014/chart" uri="{C3380CC4-5D6E-409C-BE32-E72D297353CC}">
              <c16:uniqueId val="{00000000-98CD-42BD-BB11-623E27932AA0}"/>
            </c:ext>
          </c:extLst>
        </c:ser>
        <c:dLbls>
          <c:dLblPos val="outEnd"/>
          <c:showLegendKey val="0"/>
          <c:showVal val="1"/>
          <c:showCatName val="0"/>
          <c:showSerName val="0"/>
          <c:showPercent val="0"/>
          <c:showBubbleSize val="0"/>
        </c:dLbls>
        <c:gapWidth val="182"/>
        <c:axId val="1243315551"/>
        <c:axId val="1243316031"/>
      </c:barChart>
      <c:catAx>
        <c:axId val="1243315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16031"/>
        <c:crosses val="autoZero"/>
        <c:auto val="1"/>
        <c:lblAlgn val="ctr"/>
        <c:lblOffset val="100"/>
        <c:noMultiLvlLbl val="0"/>
      </c:catAx>
      <c:valAx>
        <c:axId val="1243316031"/>
        <c:scaling>
          <c:orientation val="minMax"/>
        </c:scaling>
        <c:delete val="1"/>
        <c:axPos val="b"/>
        <c:numFmt formatCode="General" sourceLinked="1"/>
        <c:majorTickMark val="out"/>
        <c:minorTickMark val="none"/>
        <c:tickLblPos val="nextTo"/>
        <c:crossAx val="124331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[Data_Analyst_Project 0007.xlsx]Product pivot!PivotTable12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a:t>
            </a:r>
            <a:r>
              <a:rPr lang="en-IN" b="1" baseline="0"/>
              <a:t> </a:t>
            </a:r>
            <a:br>
              <a:rPr lang="en-IN" b="1" baseline="0"/>
            </a:br>
            <a:r>
              <a:rPr lang="en-IN" b="1" baseline="0"/>
              <a:t>vs </a:t>
            </a:r>
            <a:br>
              <a:rPr lang="en-IN" b="1" baseline="0"/>
            </a:br>
            <a:r>
              <a:rPr lang="en-IN" b="1" baseline="0"/>
              <a:t>Category</a:t>
            </a:r>
            <a:endParaRPr lang="en-IN" b="1"/>
          </a:p>
        </c:rich>
      </c:tx>
      <c:layout>
        <c:manualLayout>
          <c:xMode val="edge"/>
          <c:yMode val="edge"/>
          <c:x val="0.77706172504299031"/>
          <c:y val="0.143518518518518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76821431803778E-2"/>
          <c:y val="4.2083333333333355E-2"/>
          <c:w val="0.62442687121006424"/>
          <c:h val="0.85051727909011376"/>
        </c:manualLayout>
      </c:layout>
      <c:lineChart>
        <c:grouping val="standard"/>
        <c:varyColors val="0"/>
        <c:ser>
          <c:idx val="0"/>
          <c:order val="0"/>
          <c:tx>
            <c:strRef>
              <c:f>'Product pivot'!$E$2:$E$3</c:f>
              <c:strCache>
                <c:ptCount val="1"/>
                <c:pt idx="0">
                  <c:v>Clothing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 pivot'!$D$4:$D$15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 pivot'!$E$4:$E$15</c:f>
              <c:numCache>
                <c:formatCode>General</c:formatCode>
                <c:ptCount val="12"/>
                <c:pt idx="0">
                  <c:v>4</c:v>
                </c:pt>
                <c:pt idx="1">
                  <c:v>5</c:v>
                </c:pt>
                <c:pt idx="2">
                  <c:v>6</c:v>
                </c:pt>
                <c:pt idx="3">
                  <c:v>9</c:v>
                </c:pt>
                <c:pt idx="4">
                  <c:v>11</c:v>
                </c:pt>
                <c:pt idx="5">
                  <c:v>9</c:v>
                </c:pt>
                <c:pt idx="6">
                  <c:v>5</c:v>
                </c:pt>
                <c:pt idx="7">
                  <c:v>11</c:v>
                </c:pt>
                <c:pt idx="8">
                  <c:v>7</c:v>
                </c:pt>
                <c:pt idx="9">
                  <c:v>5</c:v>
                </c:pt>
                <c:pt idx="10">
                  <c:v>12</c:v>
                </c:pt>
                <c:pt idx="11">
                  <c:v>11</c:v>
                </c:pt>
              </c:numCache>
            </c:numRef>
          </c:val>
          <c:smooth val="0"/>
          <c:extLst>
            <c:ext xmlns:c16="http://schemas.microsoft.com/office/drawing/2014/chart" uri="{C3380CC4-5D6E-409C-BE32-E72D297353CC}">
              <c16:uniqueId val="{00000000-FC2F-4732-AD54-E8559F8AC838}"/>
            </c:ext>
          </c:extLst>
        </c:ser>
        <c:ser>
          <c:idx val="1"/>
          <c:order val="1"/>
          <c:tx>
            <c:strRef>
              <c:f>'Product pivot'!$F$2:$F$3</c:f>
              <c:strCache>
                <c:ptCount val="1"/>
                <c:pt idx="0">
                  <c:v>Electronics</c:v>
                </c:pt>
              </c:strCache>
            </c:strRef>
          </c:tx>
          <c:spPr>
            <a:ln w="28575" cap="rnd">
              <a:solidFill>
                <a:schemeClr val="accent2"/>
              </a:solidFill>
              <a:round/>
            </a:ln>
            <a:effectLst/>
          </c:spPr>
          <c:marker>
            <c:symbol val="none"/>
          </c:marker>
          <c:cat>
            <c:strRef>
              <c:f>'Product pivot'!$D$4:$D$15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 pivot'!$F$4:$F$15</c:f>
              <c:numCache>
                <c:formatCode>General</c:formatCode>
                <c:ptCount val="12"/>
                <c:pt idx="0">
                  <c:v>8</c:v>
                </c:pt>
                <c:pt idx="1">
                  <c:v>6</c:v>
                </c:pt>
                <c:pt idx="2">
                  <c:v>8</c:v>
                </c:pt>
                <c:pt idx="3">
                  <c:v>7</c:v>
                </c:pt>
                <c:pt idx="4">
                  <c:v>3</c:v>
                </c:pt>
                <c:pt idx="5">
                  <c:v>7</c:v>
                </c:pt>
                <c:pt idx="6">
                  <c:v>4</c:v>
                </c:pt>
                <c:pt idx="7">
                  <c:v>4</c:v>
                </c:pt>
                <c:pt idx="8">
                  <c:v>5</c:v>
                </c:pt>
                <c:pt idx="9">
                  <c:v>12</c:v>
                </c:pt>
                <c:pt idx="10">
                  <c:v>3</c:v>
                </c:pt>
                <c:pt idx="11">
                  <c:v>8</c:v>
                </c:pt>
              </c:numCache>
            </c:numRef>
          </c:val>
          <c:smooth val="0"/>
          <c:extLst>
            <c:ext xmlns:c16="http://schemas.microsoft.com/office/drawing/2014/chart" uri="{C3380CC4-5D6E-409C-BE32-E72D297353CC}">
              <c16:uniqueId val="{00000006-FC2F-4732-AD54-E8559F8AC838}"/>
            </c:ext>
          </c:extLst>
        </c:ser>
        <c:ser>
          <c:idx val="2"/>
          <c:order val="2"/>
          <c:tx>
            <c:strRef>
              <c:f>'Product pivot'!$G$2:$G$3</c:f>
              <c:strCache>
                <c:ptCount val="1"/>
                <c:pt idx="0">
                  <c:v>Furniture</c:v>
                </c:pt>
              </c:strCache>
            </c:strRef>
          </c:tx>
          <c:spPr>
            <a:ln w="28575" cap="rnd">
              <a:solidFill>
                <a:schemeClr val="accent3"/>
              </a:solidFill>
              <a:round/>
            </a:ln>
            <a:effectLst/>
          </c:spPr>
          <c:marker>
            <c:symbol val="none"/>
          </c:marker>
          <c:cat>
            <c:strRef>
              <c:f>'Product pivot'!$D$4:$D$15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 pivot'!$G$4:$G$15</c:f>
              <c:numCache>
                <c:formatCode>General</c:formatCode>
                <c:ptCount val="12"/>
                <c:pt idx="0">
                  <c:v>7</c:v>
                </c:pt>
                <c:pt idx="1">
                  <c:v>6</c:v>
                </c:pt>
                <c:pt idx="2">
                  <c:v>9</c:v>
                </c:pt>
                <c:pt idx="3">
                  <c:v>4</c:v>
                </c:pt>
                <c:pt idx="4">
                  <c:v>6</c:v>
                </c:pt>
                <c:pt idx="5">
                  <c:v>7</c:v>
                </c:pt>
                <c:pt idx="6">
                  <c:v>2</c:v>
                </c:pt>
                <c:pt idx="7">
                  <c:v>4</c:v>
                </c:pt>
                <c:pt idx="8">
                  <c:v>5</c:v>
                </c:pt>
                <c:pt idx="9">
                  <c:v>4</c:v>
                </c:pt>
                <c:pt idx="10">
                  <c:v>5</c:v>
                </c:pt>
                <c:pt idx="11">
                  <c:v>9</c:v>
                </c:pt>
              </c:numCache>
            </c:numRef>
          </c:val>
          <c:smooth val="0"/>
          <c:extLst>
            <c:ext xmlns:c16="http://schemas.microsoft.com/office/drawing/2014/chart" uri="{C3380CC4-5D6E-409C-BE32-E72D297353CC}">
              <c16:uniqueId val="{00000007-FC2F-4732-AD54-E8559F8AC838}"/>
            </c:ext>
          </c:extLst>
        </c:ser>
        <c:ser>
          <c:idx val="3"/>
          <c:order val="3"/>
          <c:tx>
            <c:strRef>
              <c:f>'Product pivot'!$H$2:$H$3</c:f>
              <c:strCache>
                <c:ptCount val="1"/>
                <c:pt idx="0">
                  <c:v>Home &amp; Kitchen</c:v>
                </c:pt>
              </c:strCache>
            </c:strRef>
          </c:tx>
          <c:spPr>
            <a:ln w="28575" cap="rnd">
              <a:solidFill>
                <a:schemeClr val="accent4"/>
              </a:solidFill>
              <a:round/>
            </a:ln>
            <a:effectLst/>
          </c:spPr>
          <c:marker>
            <c:symbol val="none"/>
          </c:marker>
          <c:cat>
            <c:strRef>
              <c:f>'Product pivot'!$D$4:$D$15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 pivot'!$H$4:$H$15</c:f>
              <c:numCache>
                <c:formatCode>General</c:formatCode>
                <c:ptCount val="12"/>
                <c:pt idx="0">
                  <c:v>8</c:v>
                </c:pt>
                <c:pt idx="1">
                  <c:v>3</c:v>
                </c:pt>
                <c:pt idx="2">
                  <c:v>11</c:v>
                </c:pt>
                <c:pt idx="3">
                  <c:v>10</c:v>
                </c:pt>
                <c:pt idx="4">
                  <c:v>8</c:v>
                </c:pt>
                <c:pt idx="5">
                  <c:v>11</c:v>
                </c:pt>
                <c:pt idx="6">
                  <c:v>7</c:v>
                </c:pt>
                <c:pt idx="7">
                  <c:v>5</c:v>
                </c:pt>
                <c:pt idx="8">
                  <c:v>6</c:v>
                </c:pt>
                <c:pt idx="9">
                  <c:v>7</c:v>
                </c:pt>
                <c:pt idx="10">
                  <c:v>6</c:v>
                </c:pt>
                <c:pt idx="11">
                  <c:v>11</c:v>
                </c:pt>
              </c:numCache>
            </c:numRef>
          </c:val>
          <c:smooth val="0"/>
          <c:extLst>
            <c:ext xmlns:c16="http://schemas.microsoft.com/office/drawing/2014/chart" uri="{C3380CC4-5D6E-409C-BE32-E72D297353CC}">
              <c16:uniqueId val="{00000008-FC2F-4732-AD54-E8559F8AC838}"/>
            </c:ext>
          </c:extLst>
        </c:ser>
        <c:ser>
          <c:idx val="4"/>
          <c:order val="4"/>
          <c:tx>
            <c:strRef>
              <c:f>'Product pivot'!$I$2:$I$3</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'Product pivot'!$D$4:$D$15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 pivot'!$I$4:$I$15</c:f>
              <c:numCache>
                <c:formatCode>General</c:formatCode>
                <c:ptCount val="12"/>
                <c:pt idx="0">
                  <c:v>6</c:v>
                </c:pt>
                <c:pt idx="1">
                  <c:v>12</c:v>
                </c:pt>
                <c:pt idx="2">
                  <c:v>5</c:v>
                </c:pt>
                <c:pt idx="3">
                  <c:v>6</c:v>
                </c:pt>
                <c:pt idx="4">
                  <c:v>7</c:v>
                </c:pt>
                <c:pt idx="5">
                  <c:v>4</c:v>
                </c:pt>
                <c:pt idx="6">
                  <c:v>8</c:v>
                </c:pt>
                <c:pt idx="7">
                  <c:v>9</c:v>
                </c:pt>
                <c:pt idx="8">
                  <c:v>9</c:v>
                </c:pt>
                <c:pt idx="9">
                  <c:v>9</c:v>
                </c:pt>
                <c:pt idx="10">
                  <c:v>4</c:v>
                </c:pt>
                <c:pt idx="11">
                  <c:v>10</c:v>
                </c:pt>
              </c:numCache>
            </c:numRef>
          </c:val>
          <c:smooth val="0"/>
          <c:extLst>
            <c:ext xmlns:c16="http://schemas.microsoft.com/office/drawing/2014/chart" uri="{C3380CC4-5D6E-409C-BE32-E72D297353CC}">
              <c16:uniqueId val="{00000009-FC2F-4732-AD54-E8559F8AC838}"/>
            </c:ext>
          </c:extLst>
        </c:ser>
        <c:dLbls>
          <c:showLegendKey val="0"/>
          <c:showVal val="0"/>
          <c:showCatName val="0"/>
          <c:showSerName val="0"/>
          <c:showPercent val="0"/>
          <c:showBubbleSize val="0"/>
        </c:dLbls>
        <c:marker val="1"/>
        <c:smooth val="0"/>
        <c:axId val="1465558031"/>
        <c:axId val="1465558991"/>
      </c:lineChart>
      <c:catAx>
        <c:axId val="146555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58991"/>
        <c:crosses val="autoZero"/>
        <c:auto val="1"/>
        <c:lblAlgn val="ctr"/>
        <c:lblOffset val="100"/>
        <c:noMultiLvlLbl val="0"/>
      </c:catAx>
      <c:valAx>
        <c:axId val="146555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58031"/>
        <c:crosses val="autoZero"/>
        <c:crossBetween val="between"/>
      </c:valAx>
      <c:spPr>
        <a:noFill/>
        <a:ln>
          <a:noFill/>
        </a:ln>
        <a:effectLst/>
      </c:spPr>
    </c:plotArea>
    <c:legend>
      <c:legendPos val="r"/>
      <c:layout>
        <c:manualLayout>
          <c:xMode val="edge"/>
          <c:yMode val="edge"/>
          <c:x val="0.72491288804416687"/>
          <c:y val="0.48061205890930303"/>
          <c:w val="0.25784573264548827"/>
          <c:h val="0.450812919218431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7</xdr:col>
      <xdr:colOff>324360</xdr:colOff>
      <xdr:row>28</xdr:row>
      <xdr:rowOff>21960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685800</xdr:colOff>
      <xdr:row>11</xdr:row>
      <xdr:rowOff>38100</xdr:rowOff>
    </xdr:from>
    <xdr:to>
      <xdr:col>16</xdr:col>
      <xdr:colOff>173865</xdr:colOff>
      <xdr:row>26</xdr:row>
      <xdr:rowOff>60060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30</xdr:row>
      <xdr:rowOff>0</xdr:rowOff>
    </xdr:from>
    <xdr:to>
      <xdr:col>7</xdr:col>
      <xdr:colOff>324360</xdr:colOff>
      <xdr:row>45</xdr:row>
      <xdr:rowOff>21600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30</xdr:row>
      <xdr:rowOff>0</xdr:rowOff>
    </xdr:from>
    <xdr:to>
      <xdr:col>17</xdr:col>
      <xdr:colOff>507240</xdr:colOff>
      <xdr:row>45</xdr:row>
      <xdr:rowOff>21600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2</xdr:row>
      <xdr:rowOff>190440</xdr:rowOff>
    </xdr:from>
    <xdr:to>
      <xdr:col>16</xdr:col>
      <xdr:colOff>147240</xdr:colOff>
      <xdr:row>16</xdr:row>
      <xdr:rowOff>13320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0</xdr:row>
      <xdr:rowOff>104775</xdr:rowOff>
    </xdr:from>
    <xdr:to>
      <xdr:col>7</xdr:col>
      <xdr:colOff>1257300</xdr:colOff>
      <xdr:row>12</xdr:row>
      <xdr:rowOff>95250</xdr:rowOff>
    </xdr:to>
    <xdr:graphicFrame macro="">
      <xdr:nvGraphicFramePr>
        <xdr:cNvPr id="2" name="Chart 1">
          <a:extLst>
            <a:ext uri="{FF2B5EF4-FFF2-40B4-BE49-F238E27FC236}">
              <a16:creationId xmlns:a16="http://schemas.microsoft.com/office/drawing/2014/main" id="{2EACC3BF-D065-06B0-6EDB-AF6F69A8B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142876</xdr:colOff>
      <xdr:row>0</xdr:row>
      <xdr:rowOff>85725</xdr:rowOff>
    </xdr:from>
    <xdr:to>
      <xdr:col>24</xdr:col>
      <xdr:colOff>247650</xdr:colOff>
      <xdr:row>5</xdr:row>
      <xdr:rowOff>38100</xdr:rowOff>
    </xdr:to>
    <xdr:sp macro="" textlink="">
      <xdr:nvSpPr>
        <xdr:cNvPr id="2" name="Rectangle: Rounded Corners 1">
          <a:extLst>
            <a:ext uri="{FF2B5EF4-FFF2-40B4-BE49-F238E27FC236}">
              <a16:creationId xmlns:a16="http://schemas.microsoft.com/office/drawing/2014/main" id="{59C28AF8-4EA9-924B-15B3-8E9A8F5C72F7}"/>
            </a:ext>
          </a:extLst>
        </xdr:cNvPr>
        <xdr:cNvSpPr/>
      </xdr:nvSpPr>
      <xdr:spPr>
        <a:xfrm>
          <a:off x="142876" y="85725"/>
          <a:ext cx="14735174"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158185</xdr:colOff>
      <xdr:row>0</xdr:row>
      <xdr:rowOff>121736</xdr:rowOff>
    </xdr:from>
    <xdr:ext cx="6255880" cy="840290"/>
    <xdr:sp macro="" textlink="">
      <xdr:nvSpPr>
        <xdr:cNvPr id="3" name="Rectangle 2">
          <a:extLst>
            <a:ext uri="{FF2B5EF4-FFF2-40B4-BE49-F238E27FC236}">
              <a16:creationId xmlns:a16="http://schemas.microsoft.com/office/drawing/2014/main" id="{ADDDD808-78A2-E54A-1B65-D7F8262E1AA0}"/>
            </a:ext>
          </a:extLst>
        </xdr:cNvPr>
        <xdr:cNvSpPr/>
      </xdr:nvSpPr>
      <xdr:spPr>
        <a:xfrm>
          <a:off x="4425385" y="121736"/>
          <a:ext cx="6255880" cy="840290"/>
        </a:xfrm>
        <a:prstGeom prst="rect">
          <a:avLst/>
        </a:prstGeom>
        <a:noFill/>
      </xdr:spPr>
      <xdr:txBody>
        <a:bodyPr wrap="none" lIns="91440" tIns="45720" rIns="91440" bIns="45720">
          <a:noAutofit/>
        </a:bodyPr>
        <a:lstStyle/>
        <a:p>
          <a:pPr algn="ctr"/>
          <a:r>
            <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Customer</a:t>
          </a:r>
          <a:r>
            <a:rPr lang="en-US" sz="5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Dashboard</a:t>
          </a:r>
          <a:endPar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3</xdr:col>
      <xdr:colOff>371475</xdr:colOff>
      <xdr:row>5</xdr:row>
      <xdr:rowOff>85725</xdr:rowOff>
    </xdr:from>
    <xdr:to>
      <xdr:col>9</xdr:col>
      <xdr:colOff>504824</xdr:colOff>
      <xdr:row>17</xdr:row>
      <xdr:rowOff>38100</xdr:rowOff>
    </xdr:to>
    <xdr:graphicFrame macro="">
      <xdr:nvGraphicFramePr>
        <xdr:cNvPr id="4" name="Chart 3">
          <a:extLst>
            <a:ext uri="{FF2B5EF4-FFF2-40B4-BE49-F238E27FC236}">
              <a16:creationId xmlns:a16="http://schemas.microsoft.com/office/drawing/2014/main" id="{DCC83E86-516B-49AC-B7C5-393E5980E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561975</xdr:colOff>
      <xdr:row>17</xdr:row>
      <xdr:rowOff>75430</xdr:rowOff>
    </xdr:from>
    <xdr:to>
      <xdr:col>16</xdr:col>
      <xdr:colOff>504344</xdr:colOff>
      <xdr:row>29</xdr:row>
      <xdr:rowOff>75430</xdr:rowOff>
    </xdr:to>
    <xdr:graphicFrame macro="">
      <xdr:nvGraphicFramePr>
        <xdr:cNvPr id="6" name="Chart 5">
          <a:extLst>
            <a:ext uri="{FF2B5EF4-FFF2-40B4-BE49-F238E27FC236}">
              <a16:creationId xmlns:a16="http://schemas.microsoft.com/office/drawing/2014/main" id="{C13D30A3-9B54-432C-8C3C-42FE17E79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4810</xdr:colOff>
      <xdr:row>17</xdr:row>
      <xdr:rowOff>75912</xdr:rowOff>
    </xdr:from>
    <xdr:to>
      <xdr:col>24</xdr:col>
      <xdr:colOff>361949</xdr:colOff>
      <xdr:row>29</xdr:row>
      <xdr:rowOff>38100</xdr:rowOff>
    </xdr:to>
    <xdr:graphicFrame macro="">
      <xdr:nvGraphicFramePr>
        <xdr:cNvPr id="7" name="Chart 6">
          <a:extLst>
            <a:ext uri="{FF2B5EF4-FFF2-40B4-BE49-F238E27FC236}">
              <a16:creationId xmlns:a16="http://schemas.microsoft.com/office/drawing/2014/main" id="{B948A208-5050-4B76-BC23-9AF9AC9D7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511968</xdr:colOff>
      <xdr:row>5</xdr:row>
      <xdr:rowOff>83344</xdr:rowOff>
    </xdr:from>
    <xdr:to>
      <xdr:col>24</xdr:col>
      <xdr:colOff>375227</xdr:colOff>
      <xdr:row>17</xdr:row>
      <xdr:rowOff>59531</xdr:rowOff>
    </xdr:to>
    <xdr:graphicFrame macro="">
      <xdr:nvGraphicFramePr>
        <xdr:cNvPr id="8" name="Chart 7">
          <a:extLst>
            <a:ext uri="{FF2B5EF4-FFF2-40B4-BE49-F238E27FC236}">
              <a16:creationId xmlns:a16="http://schemas.microsoft.com/office/drawing/2014/main" id="{3273B10C-A28D-4EA4-AFE8-9232C18C2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298690</xdr:colOff>
      <xdr:row>18</xdr:row>
      <xdr:rowOff>86449</xdr:rowOff>
    </xdr:from>
    <xdr:to>
      <xdr:col>6</xdr:col>
      <xdr:colOff>309081</xdr:colOff>
      <xdr:row>24</xdr:row>
      <xdr:rowOff>104054</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D4819538-6A27-12CB-D844-A621F60A4AE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127490" y="3515449"/>
              <a:ext cx="1839191" cy="1160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408180</xdr:colOff>
      <xdr:row>17</xdr:row>
      <xdr:rowOff>187182</xdr:rowOff>
    </xdr:from>
    <xdr:to>
      <xdr:col>9</xdr:col>
      <xdr:colOff>418571</xdr:colOff>
      <xdr:row>27</xdr:row>
      <xdr:rowOff>9477</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70D3EE6-8271-2804-9A97-645DF4FCBD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65780" y="3425682"/>
              <a:ext cx="1839191" cy="172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230813</xdr:colOff>
      <xdr:row>5</xdr:row>
      <xdr:rowOff>103189</xdr:rowOff>
    </xdr:from>
    <xdr:to>
      <xdr:col>3</xdr:col>
      <xdr:colOff>241204</xdr:colOff>
      <xdr:row>14</xdr:row>
      <xdr:rowOff>111173</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7E29F288-2F83-B648-D612-CF56A6E912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30813" y="1055689"/>
              <a:ext cx="1839191" cy="1722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220422</xdr:colOff>
      <xdr:row>14</xdr:row>
      <xdr:rowOff>162214</xdr:rowOff>
    </xdr:from>
    <xdr:to>
      <xdr:col>3</xdr:col>
      <xdr:colOff>230813</xdr:colOff>
      <xdr:row>31</xdr:row>
      <xdr:rowOff>182226</xdr:rowOff>
    </xdr:to>
    <mc:AlternateContent xmlns:mc="http://schemas.openxmlformats.org/markup-compatibility/2006" xmlns:a14="http://schemas.microsoft.com/office/drawing/2010/main">
      <mc:Choice Requires="a14">
        <xdr:graphicFrame macro="">
          <xdr:nvGraphicFramePr>
            <xdr:cNvPr id="14" name="Months (OrderDate) 1">
              <a:extLst>
                <a:ext uri="{FF2B5EF4-FFF2-40B4-BE49-F238E27FC236}">
                  <a16:creationId xmlns:a16="http://schemas.microsoft.com/office/drawing/2014/main" id="{CD616D46-2E63-CAA2-AECE-5D2DC853CDAB}"/>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220422" y="2829214"/>
              <a:ext cx="1839191" cy="3258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533400</xdr:colOff>
      <xdr:row>5</xdr:row>
      <xdr:rowOff>47625</xdr:rowOff>
    </xdr:from>
    <xdr:to>
      <xdr:col>17</xdr:col>
      <xdr:colOff>438150</xdr:colOff>
      <xdr:row>17</xdr:row>
      <xdr:rowOff>38100</xdr:rowOff>
    </xdr:to>
    <xdr:graphicFrame macro="">
      <xdr:nvGraphicFramePr>
        <xdr:cNvPr id="15" name="Chart 14">
          <a:extLst>
            <a:ext uri="{FF2B5EF4-FFF2-40B4-BE49-F238E27FC236}">
              <a16:creationId xmlns:a16="http://schemas.microsoft.com/office/drawing/2014/main" id="{985630B3-F8E9-4F99-98AD-F3B86DC5E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2</xdr:row>
      <xdr:rowOff>190440</xdr:rowOff>
    </xdr:from>
    <xdr:to>
      <xdr:col>17</xdr:col>
      <xdr:colOff>255600</xdr:colOff>
      <xdr:row>19</xdr:row>
      <xdr:rowOff>162000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447675</xdr:colOff>
      <xdr:row>5</xdr:row>
      <xdr:rowOff>114300</xdr:rowOff>
    </xdr:from>
    <xdr:to>
      <xdr:col>10</xdr:col>
      <xdr:colOff>223837</xdr:colOff>
      <xdr:row>19</xdr:row>
      <xdr:rowOff>66675</xdr:rowOff>
    </xdr:to>
    <xdr:graphicFrame macro="">
      <xdr:nvGraphicFramePr>
        <xdr:cNvPr id="2" name="Chart 4">
          <a:extLst>
            <a:ext uri="{FF2B5EF4-FFF2-40B4-BE49-F238E27FC236}">
              <a16:creationId xmlns:a16="http://schemas.microsoft.com/office/drawing/2014/main" id="{23179A6B-0DE7-2439-0AEC-F2273A353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0</xdr:row>
      <xdr:rowOff>95250</xdr:rowOff>
    </xdr:from>
    <xdr:to>
      <xdr:col>24</xdr:col>
      <xdr:colOff>323850</xdr:colOff>
      <xdr:row>5</xdr:row>
      <xdr:rowOff>47625</xdr:rowOff>
    </xdr:to>
    <xdr:sp macro="" textlink="">
      <xdr:nvSpPr>
        <xdr:cNvPr id="3" name="Rectangle: Rounded Corners 2">
          <a:extLst>
            <a:ext uri="{FF2B5EF4-FFF2-40B4-BE49-F238E27FC236}">
              <a16:creationId xmlns:a16="http://schemas.microsoft.com/office/drawing/2014/main" id="{4D0151A9-D8CA-50EA-93EA-CBCFDA9CFB8A}"/>
            </a:ext>
          </a:extLst>
        </xdr:cNvPr>
        <xdr:cNvSpPr/>
      </xdr:nvSpPr>
      <xdr:spPr>
        <a:xfrm>
          <a:off x="28575" y="95250"/>
          <a:ext cx="14925675"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466725</xdr:colOff>
      <xdr:row>0</xdr:row>
      <xdr:rowOff>76200</xdr:rowOff>
    </xdr:from>
    <xdr:ext cx="5934075" cy="937629"/>
    <xdr:sp macro="" textlink="">
      <xdr:nvSpPr>
        <xdr:cNvPr id="4" name="Rectangle 3">
          <a:extLst>
            <a:ext uri="{FF2B5EF4-FFF2-40B4-BE49-F238E27FC236}">
              <a16:creationId xmlns:a16="http://schemas.microsoft.com/office/drawing/2014/main" id="{4FF5E7AB-EAA9-8728-D027-59ADC2F639E4}"/>
            </a:ext>
          </a:extLst>
        </xdr:cNvPr>
        <xdr:cNvSpPr/>
      </xdr:nvSpPr>
      <xdr:spPr>
        <a:xfrm>
          <a:off x="4733925" y="76200"/>
          <a:ext cx="5934075" cy="937629"/>
        </a:xfrm>
        <a:prstGeom prst="rect">
          <a:avLst/>
        </a:prstGeom>
        <a:noFill/>
      </xdr:spPr>
      <xdr:txBody>
        <a:bodyPr wrap="square" lIns="91440" tIns="45720" rIns="91440" bIns="45720">
          <a:spAutoFit/>
        </a:bodyPr>
        <a:lstStyle/>
        <a:p>
          <a:pPr algn="ctr"/>
          <a:r>
            <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Product</a:t>
          </a:r>
          <a:r>
            <a:rPr lang="en-US" sz="5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Dashboard</a:t>
          </a:r>
          <a:endPar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10</xdr:col>
      <xdr:colOff>342900</xdr:colOff>
      <xdr:row>5</xdr:row>
      <xdr:rowOff>66675</xdr:rowOff>
    </xdr:from>
    <xdr:to>
      <xdr:col>16</xdr:col>
      <xdr:colOff>323852</xdr:colOff>
      <xdr:row>19</xdr:row>
      <xdr:rowOff>57150</xdr:rowOff>
    </xdr:to>
    <xdr:graphicFrame macro="">
      <xdr:nvGraphicFramePr>
        <xdr:cNvPr id="5" name="Chart 4">
          <a:extLst>
            <a:ext uri="{FF2B5EF4-FFF2-40B4-BE49-F238E27FC236}">
              <a16:creationId xmlns:a16="http://schemas.microsoft.com/office/drawing/2014/main" id="{567415F6-1804-4703-ACCC-D57F518D5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447675</xdr:colOff>
      <xdr:row>19</xdr:row>
      <xdr:rowOff>133350</xdr:rowOff>
    </xdr:from>
    <xdr:to>
      <xdr:col>10</xdr:col>
      <xdr:colOff>238125</xdr:colOff>
      <xdr:row>33</xdr:row>
      <xdr:rowOff>114300</xdr:rowOff>
    </xdr:to>
    <xdr:graphicFrame macro="">
      <xdr:nvGraphicFramePr>
        <xdr:cNvPr id="6" name="Chart 5">
          <a:extLst>
            <a:ext uri="{FF2B5EF4-FFF2-40B4-BE49-F238E27FC236}">
              <a16:creationId xmlns:a16="http://schemas.microsoft.com/office/drawing/2014/main" id="{2A5D20E7-FD50-42CD-B395-280B506ED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361950</xdr:colOff>
      <xdr:row>19</xdr:row>
      <xdr:rowOff>161925</xdr:rowOff>
    </xdr:from>
    <xdr:to>
      <xdr:col>16</xdr:col>
      <xdr:colOff>304800</xdr:colOff>
      <xdr:row>34</xdr:row>
      <xdr:rowOff>47625</xdr:rowOff>
    </xdr:to>
    <xdr:graphicFrame macro="">
      <xdr:nvGraphicFramePr>
        <xdr:cNvPr id="7" name="Chart 6">
          <a:extLst>
            <a:ext uri="{FF2B5EF4-FFF2-40B4-BE49-F238E27FC236}">
              <a16:creationId xmlns:a16="http://schemas.microsoft.com/office/drawing/2014/main" id="{D34F3E9D-13E2-4C4D-87C6-7500470B1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409575</xdr:colOff>
      <xdr:row>5</xdr:row>
      <xdr:rowOff>161924</xdr:rowOff>
    </xdr:from>
    <xdr:to>
      <xdr:col>23</xdr:col>
      <xdr:colOff>561975</xdr:colOff>
      <xdr:row>34</xdr:row>
      <xdr:rowOff>19049</xdr:rowOff>
    </xdr:to>
    <xdr:graphicFrame macro="">
      <xdr:nvGraphicFramePr>
        <xdr:cNvPr id="8" name="Chart 7">
          <a:extLst>
            <a:ext uri="{FF2B5EF4-FFF2-40B4-BE49-F238E27FC236}">
              <a16:creationId xmlns:a16="http://schemas.microsoft.com/office/drawing/2014/main" id="{5A133062-8DF3-4A2E-9741-52763BF22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180975</xdr:colOff>
      <xdr:row>14</xdr:row>
      <xdr:rowOff>85725</xdr:rowOff>
    </xdr:from>
    <xdr:to>
      <xdr:col>3</xdr:col>
      <xdr:colOff>180975</xdr:colOff>
      <xdr:row>20</xdr:row>
      <xdr:rowOff>123825</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F5F01A11-2FFB-CF82-597B-C14573B7C49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0975" y="2752725"/>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5</xdr:row>
      <xdr:rowOff>76201</xdr:rowOff>
    </xdr:from>
    <xdr:to>
      <xdr:col>3</xdr:col>
      <xdr:colOff>180975</xdr:colOff>
      <xdr:row>14</xdr:row>
      <xdr:rowOff>76201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67CE2452-E800-0B72-63DC-EF2B972022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0975" y="102870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20</xdr:row>
      <xdr:rowOff>123825</xdr:rowOff>
    </xdr:from>
    <xdr:to>
      <xdr:col>3</xdr:col>
      <xdr:colOff>190500</xdr:colOff>
      <xdr:row>39</xdr:row>
      <xdr:rowOff>104775</xdr:rowOff>
    </xdr:to>
    <mc:AlternateContent xmlns:mc="http://schemas.openxmlformats.org/markup-compatibility/2006" xmlns:a14="http://schemas.microsoft.com/office/drawing/2010/main">
      <mc:Choice Requires="a14">
        <xdr:graphicFrame macro="">
          <xdr:nvGraphicFramePr>
            <xdr:cNvPr id="14" name="Months (OrderDate)">
              <a:extLst>
                <a:ext uri="{FF2B5EF4-FFF2-40B4-BE49-F238E27FC236}">
                  <a16:creationId xmlns:a16="http://schemas.microsoft.com/office/drawing/2014/main" id="{F3BD4AC4-553B-6A94-266B-C5862774047D}"/>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90500" y="3933825"/>
              <a:ext cx="1828800" cy="3600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6232.55380613426" createdVersion="8" refreshedVersion="8" minRefreshableVersion="3" recordCount="420" xr:uid="{79B75A13-6B56-42B1-90C1-36B38EE25038}">
  <cacheSource type="worksheet">
    <worksheetSource name="RawData"/>
  </cacheSource>
  <cacheFields count="18">
    <cacheField name="OrderID" numFmtId="0">
      <sharedItems/>
    </cacheField>
    <cacheField name="OrderDate" numFmtId="164">
      <sharedItems containsSemiMixedTypes="0" containsNonDate="0" containsDate="1" containsString="0" minDate="2024-01-04T00:00:00" maxDate="2025-01-01T00:00:00" count="246">
        <d v="2024-01-30T00:00:00"/>
        <d v="2024-02-05T00:00:00"/>
        <d v="2024-01-21T00:00:00"/>
        <d v="2024-05-15T00:00:00"/>
        <d v="2024-10-15T00:00:00"/>
        <d v="2024-05-25T00:00:00"/>
        <d v="2024-12-05T00:00:00"/>
        <d v="2024-11-05T00:00:00"/>
        <d v="2024-02-17T00:00:00"/>
        <d v="2024-10-09T00:00:00"/>
        <d v="2024-10-25T00:00:00"/>
        <d v="2024-12-07T00:00:00"/>
        <d v="2024-03-31T00:00:00"/>
        <d v="2024-12-25T00:00:00"/>
        <d v="2024-04-24T00:00:00"/>
        <d v="2024-12-13T00:00:00"/>
        <d v="2024-02-25T00:00:00"/>
        <d v="2024-04-07T00:00:00"/>
        <d v="2024-06-16T00:00:00"/>
        <d v="2024-06-03T00:00:00"/>
        <d v="2024-08-14T00:00:00"/>
        <d v="2024-01-13T00:00:00"/>
        <d v="2024-12-22T00:00:00"/>
        <d v="2024-10-13T00:00:00"/>
        <d v="2024-03-22T00:00:00"/>
        <d v="2024-05-20T00:00:00"/>
        <d v="2024-04-28T00:00:00"/>
        <d v="2024-02-01T00:00:00"/>
        <d v="2024-01-04T00:00:00"/>
        <d v="2024-04-22T00:00:00"/>
        <d v="2024-11-14T00:00:00"/>
        <d v="2024-04-03T00:00:00"/>
        <d v="2024-02-11T00:00:00"/>
        <d v="2024-05-06T00:00:00"/>
        <d v="2024-12-24T00:00:00"/>
        <d v="2024-10-23T00:00:00"/>
        <d v="2024-12-19T00:00:00"/>
        <d v="2024-06-26T00:00:00"/>
        <d v="2024-08-09T00:00:00"/>
        <d v="2024-10-02T00:00:00"/>
        <d v="2024-05-04T00:00:00"/>
        <d v="2024-06-30T00:00:00"/>
        <d v="2024-05-03T00:00:00"/>
        <d v="2024-05-30T00:00:00"/>
        <d v="2024-08-05T00:00:00"/>
        <d v="2024-06-10T00:00:00"/>
        <d v="2024-11-01T00:00:00"/>
        <d v="2024-03-05T00:00:00"/>
        <d v="2024-10-20T00:00:00"/>
        <d v="2024-07-24T00:00:00"/>
        <d v="2024-03-01T00:00:00"/>
        <d v="2024-06-01T00:00:00"/>
        <d v="2024-12-04T00:00:00"/>
        <d v="2024-05-29T00:00:00"/>
        <d v="2024-03-25T00:00:00"/>
        <d v="2024-05-19T00:00:00"/>
        <d v="2024-01-14T00:00:00"/>
        <d v="2024-03-30T00:00:00"/>
        <d v="2024-08-28T00:00:00"/>
        <d v="2024-09-20T00:00:00"/>
        <d v="2024-11-16T00:00:00"/>
        <d v="2024-01-15T00:00:00"/>
        <d v="2024-04-25T00:00:00"/>
        <d v="2024-09-04T00:00:00"/>
        <d v="2024-05-21T00:00:00"/>
        <d v="2024-12-03T00:00:00"/>
        <d v="2024-06-13T00:00:00"/>
        <d v="2024-12-27T00:00:00"/>
        <d v="2024-09-14T00:00:00"/>
        <d v="2024-07-28T00:00:00"/>
        <d v="2024-06-17T00:00:00"/>
        <d v="2024-03-26T00:00:00"/>
        <d v="2024-03-15T00:00:00"/>
        <d v="2024-11-13T00:00:00"/>
        <d v="2024-08-26T00:00:00"/>
        <d v="2024-08-21T00:00:00"/>
        <d v="2024-05-31T00:00:00"/>
        <d v="2024-05-26T00:00:00"/>
        <d v="2024-06-07T00:00:00"/>
        <d v="2024-04-12T00:00:00"/>
        <d v="2024-06-22T00:00:00"/>
        <d v="2024-07-21T00:00:00"/>
        <d v="2024-11-21T00:00:00"/>
        <d v="2024-02-29T00:00:00"/>
        <d v="2024-07-31T00:00:00"/>
        <d v="2024-08-15T00:00:00"/>
        <d v="2024-07-22T00:00:00"/>
        <d v="2024-01-26T00:00:00"/>
        <d v="2024-04-29T00:00:00"/>
        <d v="2024-09-19T00:00:00"/>
        <d v="2024-11-07T00:00:00"/>
        <d v="2024-04-26T00:00:00"/>
        <d v="2024-07-10T00:00:00"/>
        <d v="2024-03-07T00:00:00"/>
        <d v="2024-05-27T00:00:00"/>
        <d v="2024-10-11T00:00:00"/>
        <d v="2024-07-11T00:00:00"/>
        <d v="2024-03-20T00:00:00"/>
        <d v="2024-05-10T00:00:00"/>
        <d v="2024-09-13T00:00:00"/>
        <d v="2024-02-09T00:00:00"/>
        <d v="2024-06-15T00:00:00"/>
        <d v="2024-02-22T00:00:00"/>
        <d v="2024-02-04T00:00:00"/>
        <d v="2024-08-24T00:00:00"/>
        <d v="2024-07-15T00:00:00"/>
        <d v="2024-08-31T00:00:00"/>
        <d v="2024-07-04T00:00:00"/>
        <d v="2024-03-08T00:00:00"/>
        <d v="2024-07-29T00:00:00"/>
        <d v="2024-07-09T00:00:00"/>
        <d v="2024-08-18T00:00:00"/>
        <d v="2024-01-28T00:00:00"/>
        <d v="2024-12-31T00:00:00"/>
        <d v="2024-11-11T00:00:00"/>
        <d v="2024-02-26T00:00:00"/>
        <d v="2024-09-12T00:00:00"/>
        <d v="2024-11-10T00:00:00"/>
        <d v="2024-10-05T00:00:00"/>
        <d v="2024-05-09T00:00:00"/>
        <d v="2024-01-23T00:00:00"/>
        <d v="2024-02-02T00:00:00"/>
        <d v="2024-12-01T00:00:00"/>
        <d v="2024-09-11T00:00:00"/>
        <d v="2024-04-02T00:00:00"/>
        <d v="2024-11-23T00:00:00"/>
        <d v="2024-10-14T00:00:00"/>
        <d v="2024-03-03T00:00:00"/>
        <d v="2024-10-08T00:00:00"/>
        <d v="2024-10-21T00:00:00"/>
        <d v="2024-06-04T00:00:00"/>
        <d v="2024-04-10T00:00:00"/>
        <d v="2024-10-30T00:00:00"/>
        <d v="2024-12-18T00:00:00"/>
        <d v="2024-06-25T00:00:00"/>
        <d v="2024-03-09T00:00:00"/>
        <d v="2024-03-06T00:00:00"/>
        <d v="2024-09-17T00:00:00"/>
        <d v="2024-11-06T00:00:00"/>
        <d v="2024-09-16T00:00:00"/>
        <d v="2024-08-01T00:00:00"/>
        <d v="2024-10-22T00:00:00"/>
        <d v="2024-01-17T00:00:00"/>
        <d v="2024-10-06T00:00:00"/>
        <d v="2024-09-02T00:00:00"/>
        <d v="2024-04-13T00:00:00"/>
        <d v="2024-12-14T00:00:00"/>
        <d v="2024-10-17T00:00:00"/>
        <d v="2024-09-15T00:00:00"/>
        <d v="2024-06-21T00:00:00"/>
        <d v="2024-02-14T00:00:00"/>
        <d v="2024-04-30T00:00:00"/>
        <d v="2024-08-29T00:00:00"/>
        <d v="2024-09-27T00:00:00"/>
        <d v="2024-03-17T00:00:00"/>
        <d v="2024-08-16T00:00:00"/>
        <d v="2024-01-31T00:00:00"/>
        <d v="2024-08-17T00:00:00"/>
        <d v="2024-12-10T00:00:00"/>
        <d v="2024-03-12T00:00:00"/>
        <d v="2024-05-01T00:00:00"/>
        <d v="2024-11-27T00:00:00"/>
        <d v="2024-04-16T00:00:00"/>
        <d v="2024-12-26T00:00:00"/>
        <d v="2024-06-06T00:00:00"/>
        <d v="2024-06-09T00:00:00"/>
        <d v="2024-05-11T00:00:00"/>
        <d v="2024-09-07T00:00:00"/>
        <d v="2024-04-01T00:00:00"/>
        <d v="2024-11-26T00:00:00"/>
        <d v="2024-10-31T00:00:00"/>
        <d v="2024-10-10T00:00:00"/>
        <d v="2024-02-12T00:00:00"/>
        <d v="2024-02-16T00:00:00"/>
        <d v="2024-03-27T00:00:00"/>
        <d v="2024-06-20T00:00:00"/>
        <d v="2024-12-15T00:00:00"/>
        <d v="2024-11-02T00:00:00"/>
        <d v="2024-05-12T00:00:00"/>
        <d v="2024-08-25T00:00:00"/>
        <d v="2024-02-13T00:00:00"/>
        <d v="2024-06-27T00:00:00"/>
        <d v="2024-06-24T00:00:00"/>
        <d v="2024-05-14T00:00:00"/>
        <d v="2024-02-28T00:00:00"/>
        <d v="2024-04-09T00:00:00"/>
        <d v="2024-11-30T00:00:00"/>
        <d v="2024-04-17T00:00:00"/>
        <d v="2024-04-15T00:00:00"/>
        <d v="2024-05-28T00:00:00"/>
        <d v="2024-03-13T00:00:00"/>
        <d v="2024-12-21T00:00:00"/>
        <d v="2024-09-30T00:00:00"/>
        <d v="2024-01-09T00:00:00"/>
        <d v="2024-02-06T00:00:00"/>
        <d v="2024-04-19T00:00:00"/>
        <d v="2024-03-04T00:00:00"/>
        <d v="2024-05-07T00:00:00"/>
        <d v="2024-10-18T00:00:00"/>
        <d v="2024-01-08T00:00:00"/>
        <d v="2024-04-14T00:00:00"/>
        <d v="2024-01-07T00:00:00"/>
        <d v="2024-09-25T00:00:00"/>
        <d v="2024-06-08T00:00:00"/>
        <d v="2024-11-22T00:00:00"/>
        <d v="2024-10-26T00:00:00"/>
        <d v="2024-08-19T00:00:00"/>
        <d v="2024-01-16T00:00:00"/>
        <d v="2024-01-22T00:00:00"/>
        <d v="2024-03-29T00:00:00"/>
        <d v="2024-03-11T00:00:00"/>
        <d v="2024-06-12T00:00:00"/>
        <d v="2024-09-08T00:00:00"/>
        <d v="2024-10-27T00:00:00"/>
        <d v="2024-12-28T00:00:00"/>
        <d v="2024-06-18T00:00:00"/>
        <d v="2024-08-02T00:00:00"/>
        <d v="2024-11-29T00:00:00"/>
        <d v="2024-02-23T00:00:00"/>
        <d v="2024-02-19T00:00:00"/>
        <d v="2024-07-08T00:00:00"/>
        <d v="2024-06-02T00:00:00"/>
        <d v="2024-03-02T00:00:00"/>
        <d v="2024-07-17T00:00:00"/>
        <d v="2024-04-08T00:00:00"/>
        <d v="2024-08-30T00:00:00"/>
        <d v="2024-08-23T00:00:00"/>
        <d v="2024-09-18T00:00:00"/>
        <d v="2024-09-03T00:00:00"/>
        <d v="2024-09-21T00:00:00"/>
        <d v="2024-12-02T00:00:00"/>
        <d v="2024-04-23T00:00:00"/>
        <d v="2024-11-19T00:00:00"/>
        <d v="2024-02-15T00:00:00"/>
        <d v="2024-06-05T00:00:00"/>
        <d v="2024-08-10T00:00:00"/>
        <d v="2024-12-30T00:00:00"/>
        <d v="2024-01-25T00:00:00"/>
        <d v="2024-10-07T00:00:00"/>
        <d v="2024-05-24T00:00:00"/>
        <d v="2024-02-21T00:00:00"/>
        <d v="2024-12-08T00:00:00"/>
        <d v="2024-11-25T00:00:00"/>
        <d v="2024-08-22T00:00:00"/>
        <d v="2024-11-20T00:00:00"/>
        <d v="2024-08-07T00:00:00"/>
      </sharedItems>
      <fieldGroup par="17"/>
    </cacheField>
    <cacheField name="CustomerID" numFmtId="0">
      <sharedItems count="80">
        <s v="CUST-0070"/>
        <s v="CUST-0066"/>
        <s v="CUST-0032"/>
        <s v="CUST-0027"/>
        <s v="CUST-0002"/>
        <s v="CUST-0009"/>
        <s v="CUST-0020"/>
        <s v="CUST-0063"/>
        <s v="CUST-0034"/>
        <s v="CUST-0046"/>
        <s v="CUST-0045"/>
        <s v="CUST-0075"/>
        <s v="CUST-0015"/>
        <s v="CUST-0026"/>
        <s v="CUST-0065"/>
        <s v="CUST-0023"/>
        <s v="CUST-0078"/>
        <s v="CUST-0011"/>
        <s v="CUST-0029"/>
        <s v="CUST-0054"/>
        <s v="CUST-0055"/>
        <s v="CUST-0018"/>
        <s v="CUST-0067"/>
        <s v="CUST-0074"/>
        <s v="CUST-0069"/>
        <s v="CUST-0022"/>
        <s v="CUST-0036"/>
        <s v="CUST-0073"/>
        <s v="CUST-0021"/>
        <s v="CUST-0016"/>
        <s v="CUST-0012"/>
        <s v="CUST-0024"/>
        <s v="CUST-0058"/>
        <s v="CUST-0071"/>
        <s v="CUST-0030"/>
        <s v="CUST-0039"/>
        <s v="CUST-0062"/>
        <s v="CUST-0049"/>
        <s v="CUST-0019"/>
        <s v="CUST-0060"/>
        <s v="CUST-0042"/>
        <s v="CUST-0035"/>
        <s v="CUST-0056"/>
        <s v="CUST-0053"/>
        <s v="CUST-0047"/>
        <s v="CUST-0057"/>
        <s v="CUST-0006"/>
        <s v="CUST-0064"/>
        <s v="CUST-0059"/>
        <s v="CUST-0080"/>
        <s v="CUST-0013"/>
        <s v="CUST-0007"/>
        <s v="CUST-0033"/>
        <s v="CUST-0072"/>
        <s v="CUST-0079"/>
        <s v="CUST-0005"/>
        <s v="CUST-0028"/>
        <s v="CUST-0017"/>
        <s v="CUST-0076"/>
        <s v="CUST-0061"/>
        <s v="CUST-0010"/>
        <s v="CUST-0040"/>
        <s v="CUST-0077"/>
        <s v="CUST-0041"/>
        <s v="CUST-0025"/>
        <s v="CUST-0048"/>
        <s v="CUST-0043"/>
        <s v="CUST-0004"/>
        <s v="CUST-0038"/>
        <s v="CUST-0037"/>
        <s v="CUST-0050"/>
        <s v="CUST-0068"/>
        <s v="CUST-0001"/>
        <s v="CUST-0008"/>
        <s v="CUST-0003"/>
        <s v="CUST-0044"/>
        <s v="CUST-0014"/>
        <s v="CUST-0052"/>
        <s v="CUST-0031"/>
        <s v="CUST-0051"/>
      </sharedItems>
    </cacheField>
    <cacheField name="CustomerName" numFmtId="0">
      <sharedItems count="76">
        <s v="Arjun Kapoor"/>
        <s v="Aadhya Mehta"/>
        <s v="Ayaan Kumar"/>
        <s v="Ethan Khan"/>
        <s v="Ayaan Nair"/>
        <s v="Ananya Iyer"/>
        <s v="Diya Reddy"/>
        <s v="Pari Smith"/>
        <s v="James Patel"/>
        <s v="Myra Sharma"/>
        <s v="Isabella Sharma"/>
        <s v="Myra Smith"/>
        <s v="Ethan Chopra"/>
        <s v="Krishna Gupta"/>
        <s v="Vihaan Kapoor"/>
        <s v="Saanvi Iyer"/>
        <s v="Ishaan Kapoor"/>
        <s v="Saanvi Singh"/>
        <s v="Arjun Nair"/>
        <s v="Liam Das"/>
        <s v="Kiara Johnson"/>
        <s v="Sophia Singh"/>
        <s v="Emma Singh"/>
        <s v="Isabella Nair"/>
        <s v="Reyansh Reddy"/>
        <s v="Navya Nair"/>
        <s v="Riya Mehta"/>
        <s v="James Brown"/>
        <s v="Liam Gupta"/>
        <s v="Riya Iyer"/>
        <s v="Ayaan Khan"/>
        <s v="Pari Nair"/>
        <s v="Kiara Nair"/>
        <s v="Navya Iyer"/>
        <s v="Vihaan Das"/>
        <s v="Reyansh Brown"/>
        <s v="Olivia Smith"/>
        <s v="Kiara Chopra"/>
        <s v="Ethan Verma"/>
        <s v="Sophia Das"/>
        <s v="Riya Gupta"/>
        <s v="Isabella Brown"/>
        <s v="Ethan Das"/>
        <s v="Aarav Taylor"/>
        <s v="Aarav Brown"/>
        <s v="Ava Kapoor"/>
        <s v="Liam Verma"/>
        <s v="Ishaan Reddy"/>
        <s v="Navya Singh"/>
        <s v="Aadhya Nair"/>
        <s v="Aditya Verma"/>
        <s v="Ava Brown"/>
        <s v="Emma Smith"/>
        <s v="Reyansh Nair"/>
        <s v="Saanvi Mehta"/>
        <s v="Noah Das"/>
        <s v="Anika Nair"/>
        <s v="Noah Khan"/>
        <s v="Kiara Sharma"/>
        <s v="Aarav Malhotra"/>
        <s v="Anika Patel"/>
        <s v="William Verma"/>
        <s v="Ayaan Taylor"/>
        <s v="Riya Reddy"/>
        <s v="Aadhya Verma"/>
        <s v="Emma Brown"/>
        <s v="Navya Sharma"/>
        <s v="Noah Kumar"/>
        <s v="Olivia Khan"/>
        <s v="James Singh"/>
        <s v="Krishna Sharma"/>
        <s v="Noah Patel"/>
        <s v="Navya Das"/>
        <s v="Sophia Wilson"/>
        <s v="Aadhya Taylor"/>
        <s v="Navya Patel"/>
      </sharedItems>
    </cacheField>
    <cacheField name="Segment" numFmtId="0">
      <sharedItems count="3">
        <s v="Consumer"/>
        <s v="Home Office"/>
        <s v="Corporate"/>
      </sharedItems>
    </cacheField>
    <cacheField name="Region" numFmtId="0">
      <sharedItems count="5">
        <s v="East"/>
        <s v="North"/>
        <s v="West"/>
        <s v="South"/>
        <s v="Central"/>
      </sharedItems>
    </cacheField>
    <cacheField name="ProductID" numFmtId="0">
      <sharedItems/>
    </cacheField>
    <cacheField name="ProductName" numFmtId="0">
      <sharedItems/>
    </cacheField>
    <cacheField name="Category" numFmtId="0">
      <sharedItems count="5">
        <s v="Electronics"/>
        <s v="Home &amp; Kitchen"/>
        <s v="Office Supplies"/>
        <s v="Clothing"/>
        <s v="Furniture"/>
      </sharedItems>
    </cacheField>
    <cacheField name="Quantity" numFmtId="0">
      <sharedItems containsSemiMixedTypes="0" containsString="0" containsNumber="1" containsInteger="1" minValue="1" maxValue="12"/>
    </cacheField>
    <cacheField name="UnitPrice" numFmtId="165">
      <sharedItems containsSemiMixedTypes="0" containsString="0" containsNumber="1" minValue="87.98" maxValue="8980.26"/>
    </cacheField>
    <cacheField name="Discount" numFmtId="166">
      <sharedItems containsSemiMixedTypes="0" containsString="0" containsNumber="1" minValue="0" maxValue="0.2"/>
    </cacheField>
    <cacheField name="Sales" numFmtId="165">
      <sharedItems containsSemiMixedTypes="0" containsString="0" containsNumber="1" minValue="117.69" maxValue="105596.64" count="420">
        <n v="2590.46"/>
        <n v="6920.4"/>
        <n v="6605.52"/>
        <n v="881.55"/>
        <n v="922.34"/>
        <n v="12468.17"/>
        <n v="9438.16"/>
        <n v="2352.84"/>
        <n v="4044.48"/>
        <n v="54431.519999999997"/>
        <n v="10598.13"/>
        <n v="7125.64"/>
        <n v="8290.31"/>
        <n v="673.82"/>
        <n v="517.77"/>
        <n v="17309.61"/>
        <n v="3195.32"/>
        <n v="1888.84"/>
        <n v="7331.74"/>
        <n v="3609.33"/>
        <n v="20443.57"/>
        <n v="4008.38"/>
        <n v="5658.95"/>
        <n v="2954.28"/>
        <n v="18718.91"/>
        <n v="39070.269999999997"/>
        <n v="7984.48"/>
        <n v="49736.83"/>
        <n v="3763.68"/>
        <n v="39346.22"/>
        <n v="8102.97"/>
        <n v="5454.62"/>
        <n v="10710.98"/>
        <n v="3072.27"/>
        <n v="3229.22"/>
        <n v="2467.0100000000002"/>
        <n v="13942.76"/>
        <n v="35909.050000000003"/>
        <n v="672"/>
        <n v="14465.48"/>
        <n v="21334.86"/>
        <n v="8151.79"/>
        <n v="2551.42"/>
        <n v="3246.25"/>
        <n v="4719.38"/>
        <n v="47197.51"/>
        <n v="8708.64"/>
        <n v="35181.480000000003"/>
        <n v="5595.58"/>
        <n v="19641.400000000001"/>
        <n v="3887.55"/>
        <n v="11545.59"/>
        <n v="6044.66"/>
        <n v="29008.77"/>
        <n v="24780.7"/>
        <n v="4850.1000000000004"/>
        <n v="1245.07"/>
        <n v="1327.86"/>
        <n v="11682.68"/>
        <n v="3890.16"/>
        <n v="2470.1799999999998"/>
        <n v="21182.95"/>
        <n v="7190.22"/>
        <n v="13166.05"/>
        <n v="2848.39"/>
        <n v="31167.68"/>
        <n v="18034.72"/>
        <n v="2630.38"/>
        <n v="1676.16"/>
        <n v="21565.77"/>
        <n v="33289.519999999997"/>
        <n v="9830.7999999999993"/>
        <n v="2020.38"/>
        <n v="18947.8"/>
        <n v="48211.13"/>
        <n v="22891.25"/>
        <n v="12246.12"/>
        <n v="21215.040000000001"/>
        <n v="1614.13"/>
        <n v="14927.42"/>
        <n v="2791.05"/>
        <n v="3506.83"/>
        <n v="2605.63"/>
        <n v="12770"/>
        <n v="5840.96"/>
        <n v="6090.99"/>
        <n v="2660.66"/>
        <n v="248.34"/>
        <n v="8958.51"/>
        <n v="66345.759999999995"/>
        <n v="406.98"/>
        <n v="8939.98"/>
        <n v="4882.6899999999996"/>
        <n v="961.8"/>
        <n v="9122.52"/>
        <n v="19018.080000000002"/>
        <n v="6881.74"/>
        <n v="379.52"/>
        <n v="4859.28"/>
        <n v="16446.86"/>
        <n v="2568.48"/>
        <n v="20714.03"/>
        <n v="6953.57"/>
        <n v="1610.59"/>
        <n v="6754.83"/>
        <n v="9873.9"/>
        <n v="6288.3"/>
        <n v="37390.32"/>
        <n v="1896.48"/>
        <n v="17407.39"/>
        <n v="10626.9"/>
        <n v="6262.29"/>
        <n v="1899.62"/>
        <n v="18796.75"/>
        <n v="30480.7"/>
        <n v="15365.48"/>
        <n v="5569.86"/>
        <n v="10051.780000000001"/>
        <n v="4251.8500000000004"/>
        <n v="9589.65"/>
        <n v="11588.31"/>
        <n v="37193.760000000002"/>
        <n v="5973.36"/>
        <n v="19644.93"/>
        <n v="1468.35"/>
        <n v="13889.23"/>
        <n v="3355.02"/>
        <n v="10163.61"/>
        <n v="1716.77"/>
        <n v="15355.58"/>
        <n v="1097.71"/>
        <n v="5611.49"/>
        <n v="3325.4"/>
        <n v="10728"/>
        <n v="36466.239999999998"/>
        <n v="3276"/>
        <n v="32464.61"/>
        <n v="20086.689999999999"/>
        <n v="17904.810000000001"/>
        <n v="3316.17"/>
        <n v="2292.89"/>
        <n v="7465.75"/>
        <n v="22870.19"/>
        <n v="4726.67"/>
        <n v="29702.78"/>
        <n v="3223.01"/>
        <n v="2205.65"/>
        <n v="82698.91"/>
        <n v="4988.59"/>
        <n v="1223.57"/>
        <n v="4062.14"/>
        <n v="8516.61"/>
        <n v="27838.57"/>
        <n v="395.33"/>
        <n v="11771.44"/>
        <n v="10571.07"/>
        <n v="20327.88"/>
        <n v="3208.34"/>
        <n v="6202.23"/>
        <n v="2409.9299999999998"/>
        <n v="16174"/>
        <n v="1526.88"/>
        <n v="1151.44"/>
        <n v="26193.1"/>
        <n v="2919.88"/>
        <n v="47627.47"/>
        <n v="9428.9699999999993"/>
        <n v="3439.46"/>
        <n v="27205.32"/>
        <n v="615.39"/>
        <n v="1036.49"/>
        <n v="4597.68"/>
        <n v="68248"/>
        <n v="473.2"/>
        <n v="1684.68"/>
        <n v="13749.12"/>
        <n v="14770.72"/>
        <n v="3539.14"/>
        <n v="35704.269999999997"/>
        <n v="4920.91"/>
        <n v="21793.01"/>
        <n v="2386.46"/>
        <n v="2127.7800000000002"/>
        <n v="85960"/>
        <n v="17142.240000000002"/>
        <n v="28450.81"/>
        <n v="16843.2"/>
        <n v="7638.95"/>
        <n v="7358.74"/>
        <n v="2817"/>
        <n v="7261.57"/>
        <n v="90864.84"/>
        <n v="840.78"/>
        <n v="24952"/>
        <n v="8529.0400000000009"/>
        <n v="10184.700000000001"/>
        <n v="5761.54"/>
        <n v="22514.76"/>
        <n v="24350.06"/>
        <n v="4922.5600000000004"/>
        <n v="1525.37"/>
        <n v="857.4"/>
        <n v="14863.61"/>
        <n v="22293.47"/>
        <n v="5155.22"/>
        <n v="2131.5500000000002"/>
        <n v="2814.95"/>
        <n v="8447.2900000000009"/>
        <n v="1973.79"/>
        <n v="15841.82"/>
        <n v="10209.69"/>
        <n v="20987.4"/>
        <n v="26626.44"/>
        <n v="80542.53"/>
        <n v="18830.86"/>
        <n v="34870.28"/>
        <n v="824.76"/>
        <n v="37781.42"/>
        <n v="13429.38"/>
        <n v="4017.52"/>
        <n v="21389.22"/>
        <n v="17174.919999999998"/>
        <n v="9758.26"/>
        <n v="8716.85"/>
        <n v="5505.45"/>
        <n v="32952.39"/>
        <n v="22549.91"/>
        <n v="6760.51"/>
        <n v="2755.73"/>
        <n v="4071.19"/>
        <n v="8321.44"/>
        <n v="626.6"/>
        <n v="13098.52"/>
        <n v="7415.42"/>
        <n v="7815.9"/>
        <n v="3914.76"/>
        <n v="1520.06"/>
        <n v="105596.64"/>
        <n v="33999.21"/>
        <n v="27182.04"/>
        <n v="10212.41"/>
        <n v="719.36"/>
        <n v="47255.59"/>
        <n v="3037.52"/>
        <n v="23665.07"/>
        <n v="19813.189999999999"/>
        <n v="7136.56"/>
        <n v="3705.02"/>
        <n v="6937.64"/>
        <n v="35951.14"/>
        <n v="4007.15"/>
        <n v="9142.4"/>
        <n v="20669.400000000001"/>
        <n v="26243.1"/>
        <n v="36746.07"/>
        <n v="9329.9"/>
        <n v="4865.26"/>
        <n v="1144.93"/>
        <n v="5773.68"/>
        <n v="9033.2900000000009"/>
        <n v="31730.87"/>
        <n v="19812.48"/>
        <n v="9125.2999999999993"/>
        <n v="21758.22"/>
        <n v="6123.91"/>
        <n v="5521.95"/>
        <n v="4459.0200000000004"/>
        <n v="6382.49"/>
        <n v="15248.65"/>
        <n v="2470.21"/>
        <n v="19212.740000000002"/>
        <n v="13027.06"/>
        <n v="3819.84"/>
        <n v="34714.800000000003"/>
        <n v="14778.11"/>
        <n v="2004.08"/>
        <n v="5096.5200000000004"/>
        <n v="14375.88"/>
        <n v="14202.12"/>
        <n v="1418.91"/>
        <n v="1352.64"/>
        <n v="8449.58"/>
        <n v="9640.25"/>
        <n v="4977.24"/>
        <n v="58534.83"/>
        <n v="14239.03"/>
        <n v="98394.23"/>
        <n v="20337.689999999999"/>
        <n v="34470.400000000001"/>
        <n v="3830.74"/>
        <n v="22840.81"/>
        <n v="13630.24"/>
        <n v="24098.81"/>
        <n v="6962.1"/>
        <n v="3032.44"/>
        <n v="7671.97"/>
        <n v="1860.75"/>
        <n v="27243"/>
        <n v="1469.59"/>
        <n v="1581.28"/>
        <n v="6101.94"/>
        <n v="1448.69"/>
        <n v="7864.25"/>
        <n v="1039.55"/>
        <n v="2793.28"/>
        <n v="17794.150000000001"/>
        <n v="3017.38"/>
        <n v="2800.52"/>
        <n v="19898.28"/>
        <n v="4688.59"/>
        <n v="3424.46"/>
        <n v="4824.3999999999996"/>
        <n v="1590.04"/>
        <n v="2867.19"/>
        <n v="4352.99"/>
        <n v="7676.9"/>
        <n v="1000.56"/>
        <n v="633.46"/>
        <n v="4634.28"/>
        <n v="12834.42"/>
        <n v="1117.7"/>
        <n v="18172.439999999999"/>
        <n v="23266.880000000001"/>
        <n v="319"/>
        <n v="3267.16"/>
        <n v="11542"/>
        <n v="117.69"/>
        <n v="916.71"/>
        <n v="40100.83"/>
        <n v="604.84"/>
        <n v="4618.38"/>
        <n v="2465.7199999999998"/>
        <n v="14910.4"/>
        <n v="5654.04"/>
        <n v="3395.96"/>
        <n v="6401.13"/>
        <n v="8321.1299999999992"/>
        <n v="582.08000000000004"/>
        <n v="5534.21"/>
        <n v="7906.28"/>
        <n v="310.20999999999998"/>
        <n v="17505.84"/>
        <n v="17389.84"/>
        <n v="7399.32"/>
        <n v="1566.16"/>
        <n v="3414.14"/>
        <n v="6847.15"/>
        <n v="9561.92"/>
        <n v="4167.63"/>
        <n v="19347.12"/>
        <n v="4612.88"/>
        <n v="38035.699999999997"/>
        <n v="5339.43"/>
        <n v="4876.92"/>
        <n v="1088.21"/>
        <n v="1222.3399999999999"/>
        <n v="252.99"/>
        <n v="15456.84"/>
        <n v="3129.39"/>
        <n v="15129.3"/>
        <n v="9431.76"/>
        <n v="558.78"/>
        <n v="15991.9"/>
        <n v="3900.3"/>
        <n v="38449.75"/>
        <n v="604.41999999999996"/>
        <n v="26296.19"/>
        <n v="71842.080000000002"/>
        <n v="37551.300000000003"/>
        <n v="1672.65"/>
        <n v="1044"/>
        <n v="5231.92"/>
        <n v="8164.69"/>
        <n v="59185.599999999999"/>
        <n v="2968.53"/>
        <n v="15282"/>
        <n v="13798.28"/>
        <n v="16018.18"/>
        <n v="2100.96"/>
        <n v="54770.87"/>
        <n v="7599.08"/>
        <n v="38553.18"/>
        <n v="8990.43"/>
        <n v="6718.35"/>
        <n v="7240.99"/>
        <n v="7618.81"/>
        <n v="24526.18"/>
        <n v="20836.419999999998"/>
        <n v="15978.76"/>
        <n v="8520.57"/>
        <n v="13915"/>
        <n v="666.1"/>
        <n v="65913.7"/>
        <n v="21468.5"/>
        <n v="3209.12"/>
        <n v="14218.09"/>
        <n v="5824.31"/>
        <n v="3906.3"/>
        <n v="30418.92"/>
        <n v="6058.87"/>
        <n v="3056.83"/>
        <n v="27484.16"/>
        <n v="3441.22"/>
        <n v="47974.19"/>
        <n v="79704.009999999995"/>
        <n v="7507.72"/>
        <n v="24036.2"/>
        <n v="18165.419999999998"/>
        <n v="8031.53"/>
        <n v="16564.400000000001"/>
        <n v="47974.27"/>
        <n v="59540.67"/>
        <n v="23668.080000000002"/>
        <n v="6357.57"/>
        <n v="7659.24"/>
        <n v="38494.949999999997"/>
        <n v="9779.6200000000008"/>
        <n v="22332"/>
        <n v="26612.82"/>
        <n v="7622.6"/>
      </sharedItems>
    </cacheField>
    <cacheField name="Profit" numFmtId="165">
      <sharedItems containsSemiMixedTypes="0" containsString="0" containsNumber="1" minValue="14.62" maxValue="44939.67"/>
    </cacheField>
    <cacheField name="ShippingCost" numFmtId="165">
      <sharedItems containsSemiMixedTypes="0" containsString="0" containsNumber="1" minValue="20.16" maxValue="249.47"/>
    </cacheField>
    <cacheField name="PaymentMethod" numFmtId="0">
      <sharedItems count="5">
        <s v="Credit Card"/>
        <s v="Cash on Delivery"/>
        <s v="UPI"/>
        <s v="Debit Card"/>
        <s v="Net Banking"/>
      </sharedItems>
    </cacheField>
    <cacheField name="Days (OrderDate)" numFmtId="0" databaseField="0">
      <fieldGroup base="1">
        <rangePr groupBy="days" startDate="2024-01-04T00:00:00" endDate="2025-01-01T00:00:00"/>
        <groupItems count="368">
          <s v="&lt;04-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Date)" numFmtId="0" databaseField="0">
      <fieldGroup base="1">
        <rangePr groupBy="months" startDate="2024-01-04T00:00:00" endDate="2025-01-01T00:00:00"/>
        <groupItems count="14">
          <s v="&lt;04-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638937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s v="ORD-1001"/>
    <x v="0"/>
    <x v="0"/>
    <x v="0"/>
    <x v="0"/>
    <x v="0"/>
    <s v="ELE-06"/>
    <s v="Noise Cancelling Headphones"/>
    <x v="0"/>
    <n v="1"/>
    <n v="2878.29"/>
    <n v="0.1"/>
    <x v="0"/>
    <n v="345.83"/>
    <n v="142.16"/>
    <x v="0"/>
  </r>
  <r>
    <s v="ORD-1002"/>
    <x v="1"/>
    <x v="1"/>
    <x v="1"/>
    <x v="1"/>
    <x v="1"/>
    <s v="ELE-03"/>
    <s v="USB-C Charger"/>
    <x v="0"/>
    <n v="10"/>
    <n v="865.05"/>
    <n v="0.2"/>
    <x v="1"/>
    <n v="1653.97"/>
    <n v="47.57"/>
    <x v="1"/>
  </r>
  <r>
    <s v="ORD-1003"/>
    <x v="2"/>
    <x v="2"/>
    <x v="2"/>
    <x v="1"/>
    <x v="2"/>
    <s v="HOM-10"/>
    <s v="Table Lamp"/>
    <x v="1"/>
    <n v="10"/>
    <n v="777.12"/>
    <n v="0.15"/>
    <x v="2"/>
    <n v="1197.4000000000001"/>
    <n v="140.24"/>
    <x v="2"/>
  </r>
  <r>
    <s v="ORD-1004"/>
    <x v="3"/>
    <x v="3"/>
    <x v="3"/>
    <x v="0"/>
    <x v="2"/>
    <s v="OFF-04"/>
    <s v="Ball Pen Box"/>
    <x v="2"/>
    <n v="7"/>
    <n v="148.16"/>
    <n v="0.15"/>
    <x v="3"/>
    <n v="233.35"/>
    <n v="92.72"/>
    <x v="0"/>
  </r>
  <r>
    <s v="ORD-1005"/>
    <x v="4"/>
    <x v="4"/>
    <x v="4"/>
    <x v="0"/>
    <x v="1"/>
    <s v="CLO-10"/>
    <s v="Woolen Sweater"/>
    <x v="3"/>
    <n v="2"/>
    <n v="461.17"/>
    <n v="0"/>
    <x v="4"/>
    <n v="298.39999999999998"/>
    <n v="50.47"/>
    <x v="2"/>
  </r>
  <r>
    <s v="ORD-1006"/>
    <x v="5"/>
    <x v="5"/>
    <x v="5"/>
    <x v="0"/>
    <x v="3"/>
    <s v="FUR-06"/>
    <s v="Standing Desk"/>
    <x v="4"/>
    <n v="3"/>
    <n v="4617.84"/>
    <n v="0.1"/>
    <x v="5"/>
    <n v="2412.11"/>
    <n v="160.69"/>
    <x v="1"/>
  </r>
  <r>
    <s v="ORD-1007"/>
    <x v="6"/>
    <x v="4"/>
    <x v="4"/>
    <x v="0"/>
    <x v="1"/>
    <s v="HOM-05"/>
    <s v="Water Bottle"/>
    <x v="1"/>
    <n v="2"/>
    <n v="4719.08"/>
    <n v="0"/>
    <x v="6"/>
    <n v="3623.15"/>
    <n v="224.63"/>
    <x v="1"/>
  </r>
  <r>
    <s v="ORD-1008"/>
    <x v="7"/>
    <x v="6"/>
    <x v="6"/>
    <x v="1"/>
    <x v="0"/>
    <s v="OFF-05"/>
    <s v="File Folder"/>
    <x v="2"/>
    <n v="4"/>
    <n v="588.21"/>
    <n v="0"/>
    <x v="7"/>
    <n v="654.39"/>
    <n v="216.17"/>
    <x v="1"/>
  </r>
  <r>
    <s v="ORD-1009"/>
    <x v="8"/>
    <x v="7"/>
    <x v="7"/>
    <x v="0"/>
    <x v="2"/>
    <s v="OFF-01"/>
    <s v="A4 Paper Ream"/>
    <x v="2"/>
    <n v="11"/>
    <n v="367.68"/>
    <n v="0"/>
    <x v="8"/>
    <n v="1775.44"/>
    <n v="96.72"/>
    <x v="3"/>
  </r>
  <r>
    <s v="ORD-1010"/>
    <x v="9"/>
    <x v="8"/>
    <x v="8"/>
    <x v="1"/>
    <x v="2"/>
    <s v="FUR-08"/>
    <s v="Bed Frame"/>
    <x v="4"/>
    <n v="12"/>
    <n v="4535.96"/>
    <n v="0"/>
    <x v="9"/>
    <n v="22971.82"/>
    <n v="237.36"/>
    <x v="3"/>
  </r>
  <r>
    <s v="ORD-1011"/>
    <x v="10"/>
    <x v="0"/>
    <x v="0"/>
    <x v="0"/>
    <x v="0"/>
    <s v="ELE-06"/>
    <s v="Noise Cancelling Headphones"/>
    <x v="0"/>
    <n v="9"/>
    <n v="1177.57"/>
    <n v="0"/>
    <x v="10"/>
    <n v="4658.33"/>
    <n v="103.87"/>
    <x v="0"/>
  </r>
  <r>
    <s v="ORD-1012"/>
    <x v="11"/>
    <x v="9"/>
    <x v="9"/>
    <x v="0"/>
    <x v="0"/>
    <s v="FUR-04"/>
    <s v="Bean Bag"/>
    <x v="4"/>
    <n v="2"/>
    <n v="3958.69"/>
    <n v="0.1"/>
    <x v="11"/>
    <n v="1021.07"/>
    <n v="113.47"/>
    <x v="1"/>
  </r>
  <r>
    <s v="ORD-1013"/>
    <x v="12"/>
    <x v="6"/>
    <x v="6"/>
    <x v="1"/>
    <x v="0"/>
    <s v="FUR-03"/>
    <s v="Bookshelf"/>
    <x v="4"/>
    <n v="7"/>
    <n v="1393.33"/>
    <n v="0.15"/>
    <x v="12"/>
    <n v="671.79"/>
    <n v="199.95"/>
    <x v="4"/>
  </r>
  <r>
    <s v="ORD-1014"/>
    <x v="13"/>
    <x v="2"/>
    <x v="2"/>
    <x v="1"/>
    <x v="2"/>
    <s v="OFF-03"/>
    <s v="Sticky Notes Pack"/>
    <x v="2"/>
    <n v="2"/>
    <n v="336.91"/>
    <n v="0"/>
    <x v="13"/>
    <n v="158.58000000000001"/>
    <n v="71.16"/>
    <x v="4"/>
  </r>
  <r>
    <s v="ORD-1015"/>
    <x v="14"/>
    <x v="10"/>
    <x v="10"/>
    <x v="1"/>
    <x v="0"/>
    <s v="OFF-04"/>
    <s v="Ball Pen Box"/>
    <x v="2"/>
    <n v="1"/>
    <n v="545.02"/>
    <n v="0.05"/>
    <x v="14"/>
    <n v="173.28"/>
    <n v="218.8"/>
    <x v="2"/>
  </r>
  <r>
    <s v="ORD-1016"/>
    <x v="15"/>
    <x v="10"/>
    <x v="10"/>
    <x v="1"/>
    <x v="0"/>
    <s v="HOM-07"/>
    <s v="Air Fryer"/>
    <x v="1"/>
    <n v="9"/>
    <n v="1923.29"/>
    <n v="0"/>
    <x v="15"/>
    <n v="7290.19"/>
    <n v="243.19"/>
    <x v="3"/>
  </r>
  <r>
    <s v="ORD-1017"/>
    <x v="16"/>
    <x v="11"/>
    <x v="11"/>
    <x v="0"/>
    <x v="2"/>
    <s v="OFF-01"/>
    <s v="A4 Paper Ream"/>
    <x v="2"/>
    <n v="10"/>
    <n v="375.92"/>
    <n v="0.15"/>
    <x v="16"/>
    <n v="388.67"/>
    <n v="120.37"/>
    <x v="1"/>
  </r>
  <r>
    <s v="ORD-1018"/>
    <x v="17"/>
    <x v="12"/>
    <x v="12"/>
    <x v="1"/>
    <x v="3"/>
    <s v="CLO-10"/>
    <s v="Woolen Sweater"/>
    <x v="3"/>
    <n v="5"/>
    <n v="397.65"/>
    <n v="0.05"/>
    <x v="17"/>
    <n v="794.46"/>
    <n v="232.88"/>
    <x v="1"/>
  </r>
  <r>
    <s v="ORD-1019"/>
    <x v="1"/>
    <x v="13"/>
    <x v="13"/>
    <x v="0"/>
    <x v="4"/>
    <s v="OFF-07"/>
    <s v="Desk Organizer"/>
    <x v="2"/>
    <n v="11"/>
    <n v="740.58"/>
    <n v="0.1"/>
    <x v="18"/>
    <n v="2211.91"/>
    <n v="215.04"/>
    <x v="2"/>
  </r>
  <r>
    <s v="ORD-1020"/>
    <x v="18"/>
    <x v="14"/>
    <x v="14"/>
    <x v="2"/>
    <x v="2"/>
    <s v="OFF-07"/>
    <s v="Desk Organizer"/>
    <x v="2"/>
    <n v="7"/>
    <n v="572.91"/>
    <n v="0.1"/>
    <x v="19"/>
    <n v="1276.01"/>
    <n v="116.7"/>
    <x v="4"/>
  </r>
  <r>
    <s v="ORD-1021"/>
    <x v="19"/>
    <x v="15"/>
    <x v="15"/>
    <x v="1"/>
    <x v="4"/>
    <s v="HOM-10"/>
    <s v="Table Lamp"/>
    <x v="1"/>
    <n v="7"/>
    <n v="2920.51"/>
    <n v="0"/>
    <x v="20"/>
    <n v="7646.53"/>
    <n v="68.34"/>
    <x v="1"/>
  </r>
  <r>
    <s v="ORD-1022"/>
    <x v="20"/>
    <x v="16"/>
    <x v="16"/>
    <x v="1"/>
    <x v="4"/>
    <s v="OFF-08"/>
    <s v="Printer Ink Cartridge"/>
    <x v="2"/>
    <n v="8"/>
    <n v="556.72"/>
    <n v="0.1"/>
    <x v="21"/>
    <n v="1031.95"/>
    <n v="227.27"/>
    <x v="3"/>
  </r>
  <r>
    <s v="ORD-1023"/>
    <x v="6"/>
    <x v="17"/>
    <x v="17"/>
    <x v="2"/>
    <x v="0"/>
    <s v="OFF-09"/>
    <s v="Highlighter Set"/>
    <x v="2"/>
    <n v="11"/>
    <n v="514.45000000000005"/>
    <n v="0"/>
    <x v="22"/>
    <n v="1388.67"/>
    <n v="192.76"/>
    <x v="2"/>
  </r>
  <r>
    <s v="ORD-1024"/>
    <x v="21"/>
    <x v="18"/>
    <x v="18"/>
    <x v="1"/>
    <x v="4"/>
    <s v="FUR-03"/>
    <s v="Bookshelf"/>
    <x v="4"/>
    <n v="1"/>
    <n v="3109.77"/>
    <n v="0.05"/>
    <x v="23"/>
    <n v="768.68"/>
    <n v="196.75"/>
    <x v="4"/>
  </r>
  <r>
    <s v="ORD-1025"/>
    <x v="22"/>
    <x v="19"/>
    <x v="19"/>
    <x v="2"/>
    <x v="0"/>
    <s v="HOM-04"/>
    <s v="Dinner Set"/>
    <x v="1"/>
    <n v="7"/>
    <n v="2674.13"/>
    <n v="0"/>
    <x v="24"/>
    <n v="7732.92"/>
    <n v="178.15"/>
    <x v="0"/>
  </r>
  <r>
    <s v="ORD-1026"/>
    <x v="22"/>
    <x v="20"/>
    <x v="20"/>
    <x v="2"/>
    <x v="1"/>
    <s v="FUR-03"/>
    <s v="Bookshelf"/>
    <x v="4"/>
    <n v="9"/>
    <n v="4823.49"/>
    <n v="0.1"/>
    <x v="25"/>
    <n v="12489.48"/>
    <n v="215.12"/>
    <x v="4"/>
  </r>
  <r>
    <s v="ORD-1027"/>
    <x v="23"/>
    <x v="21"/>
    <x v="21"/>
    <x v="2"/>
    <x v="0"/>
    <s v="CLO-09"/>
    <s v="Track Pants"/>
    <x v="3"/>
    <n v="10"/>
    <n v="998.06"/>
    <n v="0.2"/>
    <x v="26"/>
    <n v="270.91000000000003"/>
    <n v="160.91"/>
    <x v="1"/>
  </r>
  <r>
    <s v="ORD-1028"/>
    <x v="24"/>
    <x v="20"/>
    <x v="20"/>
    <x v="2"/>
    <x v="1"/>
    <s v="HOM-08"/>
    <s v="Storage Containers"/>
    <x v="1"/>
    <n v="12"/>
    <n v="4362.88"/>
    <n v="0.05"/>
    <x v="27"/>
    <n v="17549.36"/>
    <n v="76.87"/>
    <x v="2"/>
  </r>
  <r>
    <s v="ORD-1029"/>
    <x v="25"/>
    <x v="22"/>
    <x v="22"/>
    <x v="0"/>
    <x v="2"/>
    <s v="CLO-04"/>
    <s v="Running Shoes"/>
    <x v="3"/>
    <n v="8"/>
    <n v="470.46"/>
    <n v="0"/>
    <x v="28"/>
    <n v="1473.02"/>
    <n v="97.24"/>
    <x v="1"/>
  </r>
  <r>
    <s v="ORD-1030"/>
    <x v="26"/>
    <x v="17"/>
    <x v="17"/>
    <x v="2"/>
    <x v="0"/>
    <s v="FUR-03"/>
    <s v="Bookshelf"/>
    <x v="4"/>
    <n v="7"/>
    <n v="6612.81"/>
    <n v="0.15"/>
    <x v="29"/>
    <n v="11410.95"/>
    <n v="115.42"/>
    <x v="2"/>
  </r>
  <r>
    <s v="ORD-1031"/>
    <x v="27"/>
    <x v="0"/>
    <x v="0"/>
    <x v="0"/>
    <x v="0"/>
    <s v="CLO-07"/>
    <s v="Leather Belt"/>
    <x v="3"/>
    <n v="4"/>
    <n v="2132.36"/>
    <n v="0.05"/>
    <x v="30"/>
    <n v="1482.34"/>
    <n v="154.34"/>
    <x v="0"/>
  </r>
  <r>
    <s v="ORD-1032"/>
    <x v="28"/>
    <x v="23"/>
    <x v="23"/>
    <x v="0"/>
    <x v="2"/>
    <s v="CLO-08"/>
    <s v="Casual Sneakers"/>
    <x v="3"/>
    <n v="6"/>
    <n v="956.95"/>
    <n v="0.05"/>
    <x v="31"/>
    <n v="1071.6199999999999"/>
    <n v="239.29"/>
    <x v="4"/>
  </r>
  <r>
    <s v="ORD-1033"/>
    <x v="29"/>
    <x v="24"/>
    <x v="24"/>
    <x v="1"/>
    <x v="2"/>
    <s v="HOM-10"/>
    <s v="Table Lamp"/>
    <x v="1"/>
    <n v="8"/>
    <n v="1409.34"/>
    <n v="0.05"/>
    <x v="32"/>
    <n v="3141.01"/>
    <n v="109.44"/>
    <x v="4"/>
  </r>
  <r>
    <s v="ORD-1034"/>
    <x v="30"/>
    <x v="25"/>
    <x v="25"/>
    <x v="0"/>
    <x v="2"/>
    <s v="CLO-03"/>
    <s v="Denim Jeans"/>
    <x v="3"/>
    <n v="9"/>
    <n v="359.33"/>
    <n v="0.05"/>
    <x v="33"/>
    <n v="815.05"/>
    <n v="172.49"/>
    <x v="0"/>
  </r>
  <r>
    <s v="ORD-1035"/>
    <x v="31"/>
    <x v="20"/>
    <x v="20"/>
    <x v="2"/>
    <x v="1"/>
    <s v="FUR-08"/>
    <s v="Bed Frame"/>
    <x v="4"/>
    <n v="1"/>
    <n v="3229.22"/>
    <n v="0"/>
    <x v="34"/>
    <n v="1282.27"/>
    <n v="95.17"/>
    <x v="4"/>
  </r>
  <r>
    <s v="ORD-1036"/>
    <x v="32"/>
    <x v="26"/>
    <x v="26"/>
    <x v="1"/>
    <x v="0"/>
    <s v="CLO-05"/>
    <s v="Winter Jacket"/>
    <x v="3"/>
    <n v="8"/>
    <n v="342.64"/>
    <n v="0.1"/>
    <x v="35"/>
    <n v="923.7"/>
    <n v="238.94"/>
    <x v="3"/>
  </r>
  <r>
    <s v="ORD-1037"/>
    <x v="33"/>
    <x v="5"/>
    <x v="5"/>
    <x v="0"/>
    <x v="3"/>
    <s v="ELE-01"/>
    <s v="Wireless Mouse"/>
    <x v="0"/>
    <n v="4"/>
    <n v="3872.99"/>
    <n v="0.1"/>
    <x v="36"/>
    <n v="4832.01"/>
    <n v="49.03"/>
    <x v="0"/>
  </r>
  <r>
    <s v="ORD-1038"/>
    <x v="34"/>
    <x v="27"/>
    <x v="27"/>
    <x v="0"/>
    <x v="1"/>
    <s v="FUR-08"/>
    <s v="Bed Frame"/>
    <x v="4"/>
    <n v="5"/>
    <n v="7181.81"/>
    <n v="0"/>
    <x v="37"/>
    <n v="10719.81"/>
    <n v="241.66"/>
    <x v="0"/>
  </r>
  <r>
    <s v="ORD-1039"/>
    <x v="35"/>
    <x v="28"/>
    <x v="28"/>
    <x v="1"/>
    <x v="3"/>
    <s v="OFF-02"/>
    <s v="Stapler"/>
    <x v="2"/>
    <n v="1"/>
    <n v="746.67"/>
    <n v="0.1"/>
    <x v="38"/>
    <n v="134.88999999999999"/>
    <n v="240.38"/>
    <x v="4"/>
  </r>
  <r>
    <s v="ORD-1040"/>
    <x v="36"/>
    <x v="13"/>
    <x v="13"/>
    <x v="0"/>
    <x v="4"/>
    <s v="ELE-10"/>
    <s v="Router AC1200"/>
    <x v="0"/>
    <n v="11"/>
    <n v="1547.11"/>
    <n v="0.15"/>
    <x v="39"/>
    <n v="1818.9"/>
    <n v="215.57"/>
    <x v="1"/>
  </r>
  <r>
    <s v="ORD-1041"/>
    <x v="37"/>
    <x v="29"/>
    <x v="28"/>
    <x v="0"/>
    <x v="3"/>
    <s v="HOM-01"/>
    <s v="Non-stick Pan"/>
    <x v="1"/>
    <n v="9"/>
    <n v="2370.54"/>
    <n v="0"/>
    <x v="40"/>
    <n v="9232.89"/>
    <n v="168.93"/>
    <x v="0"/>
  </r>
  <r>
    <s v="ORD-1042"/>
    <x v="38"/>
    <x v="19"/>
    <x v="19"/>
    <x v="2"/>
    <x v="0"/>
    <s v="CLO-02"/>
    <s v="Formal Shirt"/>
    <x v="3"/>
    <n v="6"/>
    <n v="1698.29"/>
    <n v="0.2"/>
    <x v="41"/>
    <n v="1376.28"/>
    <n v="55.19"/>
    <x v="3"/>
  </r>
  <r>
    <s v="ORD-1043"/>
    <x v="39"/>
    <x v="22"/>
    <x v="22"/>
    <x v="0"/>
    <x v="2"/>
    <s v="OFF-10"/>
    <s v="Notebook Pack"/>
    <x v="2"/>
    <n v="8"/>
    <n v="398.66"/>
    <n v="0.2"/>
    <x v="42"/>
    <n v="214.45"/>
    <n v="81.73"/>
    <x v="3"/>
  </r>
  <r>
    <s v="ORD-1044"/>
    <x v="40"/>
    <x v="30"/>
    <x v="29"/>
    <x v="0"/>
    <x v="2"/>
    <s v="OFF-08"/>
    <s v="Printer Ink Cartridge"/>
    <x v="2"/>
    <n v="8"/>
    <n v="477.39"/>
    <n v="0.15"/>
    <x v="43"/>
    <n v="783.88"/>
    <n v="26.6"/>
    <x v="2"/>
  </r>
  <r>
    <s v="ORD-1045"/>
    <x v="41"/>
    <x v="31"/>
    <x v="30"/>
    <x v="0"/>
    <x v="3"/>
    <s v="CLO-04"/>
    <s v="Running Shoes"/>
    <x v="3"/>
    <n v="5"/>
    <n v="1048.75"/>
    <n v="0.1"/>
    <x v="44"/>
    <n v="916.11"/>
    <n v="83.54"/>
    <x v="0"/>
  </r>
  <r>
    <s v="ORD-1046"/>
    <x v="42"/>
    <x v="22"/>
    <x v="22"/>
    <x v="0"/>
    <x v="2"/>
    <s v="FUR-02"/>
    <s v="Study Table"/>
    <x v="4"/>
    <n v="12"/>
    <n v="4370.1400000000003"/>
    <n v="0.1"/>
    <x v="45"/>
    <n v="8414.73"/>
    <n v="178.84"/>
    <x v="4"/>
  </r>
  <r>
    <s v="ORD-1047"/>
    <x v="43"/>
    <x v="32"/>
    <x v="31"/>
    <x v="0"/>
    <x v="1"/>
    <s v="ELE-02"/>
    <s v="Bluetooth Speaker"/>
    <x v="0"/>
    <n v="4"/>
    <n v="2177.16"/>
    <n v="0"/>
    <x v="46"/>
    <n v="3252.23"/>
    <n v="153.76"/>
    <x v="4"/>
  </r>
  <r>
    <s v="ORD-1048"/>
    <x v="44"/>
    <x v="33"/>
    <x v="32"/>
    <x v="0"/>
    <x v="2"/>
    <s v="HOM-06"/>
    <s v="Vacuum Cleaner"/>
    <x v="1"/>
    <n v="12"/>
    <n v="2931.79"/>
    <n v="0"/>
    <x v="47"/>
    <n v="9649.7999999999993"/>
    <n v="82.31"/>
    <x v="2"/>
  </r>
  <r>
    <s v="ORD-1049"/>
    <x v="45"/>
    <x v="34"/>
    <x v="33"/>
    <x v="1"/>
    <x v="4"/>
    <s v="ELE-04"/>
    <s v="Laptop Stand"/>
    <x v="0"/>
    <n v="2"/>
    <n v="3497.24"/>
    <n v="0.2"/>
    <x v="48"/>
    <n v="541.78"/>
    <n v="64.05"/>
    <x v="4"/>
  </r>
  <r>
    <s v="ORD-1050"/>
    <x v="46"/>
    <x v="26"/>
    <x v="26"/>
    <x v="1"/>
    <x v="0"/>
    <s v="HOM-09"/>
    <s v="Bedsheet Set"/>
    <x v="1"/>
    <n v="5"/>
    <n v="4910.3500000000004"/>
    <n v="0.2"/>
    <x v="49"/>
    <n v="4946.46"/>
    <n v="72.319999999999993"/>
    <x v="3"/>
  </r>
  <r>
    <s v="ORD-1051"/>
    <x v="47"/>
    <x v="35"/>
    <x v="34"/>
    <x v="2"/>
    <x v="3"/>
    <s v="ELE-09"/>
    <s v="Mechanical Keyboard"/>
    <x v="0"/>
    <n v="5"/>
    <n v="777.51"/>
    <n v="0"/>
    <x v="50"/>
    <n v="1211.5899999999999"/>
    <n v="180.41"/>
    <x v="3"/>
  </r>
  <r>
    <s v="ORD-1052"/>
    <x v="48"/>
    <x v="7"/>
    <x v="7"/>
    <x v="0"/>
    <x v="2"/>
    <s v="ELE-01"/>
    <s v="Wireless Mouse"/>
    <x v="0"/>
    <n v="5"/>
    <n v="2430.65"/>
    <n v="0.05"/>
    <x v="51"/>
    <n v="3826.13"/>
    <n v="242.06"/>
    <x v="2"/>
  </r>
  <r>
    <s v="ORD-1053"/>
    <x v="49"/>
    <x v="36"/>
    <x v="35"/>
    <x v="0"/>
    <x v="4"/>
    <s v="ELE-02"/>
    <s v="Bluetooth Speaker"/>
    <x v="0"/>
    <n v="8"/>
    <n v="888.92"/>
    <n v="0.15"/>
    <x v="52"/>
    <n v="913.01"/>
    <n v="54.9"/>
    <x v="1"/>
  </r>
  <r>
    <s v="ORD-1054"/>
    <x v="50"/>
    <x v="35"/>
    <x v="34"/>
    <x v="2"/>
    <x v="3"/>
    <s v="ELE-04"/>
    <s v="Laptop Stand"/>
    <x v="0"/>
    <n v="9"/>
    <n v="3581.33"/>
    <n v="0.1"/>
    <x v="53"/>
    <n v="6477.6"/>
    <n v="162.24"/>
    <x v="1"/>
  </r>
  <r>
    <s v="ORD-1055"/>
    <x v="51"/>
    <x v="37"/>
    <x v="36"/>
    <x v="0"/>
    <x v="4"/>
    <s v="CLO-08"/>
    <s v="Casual Sneakers"/>
    <x v="3"/>
    <n v="10"/>
    <n v="2478.0700000000002"/>
    <n v="0"/>
    <x v="54"/>
    <n v="7628.56"/>
    <n v="33.85"/>
    <x v="0"/>
  </r>
  <r>
    <s v="ORD-1056"/>
    <x v="52"/>
    <x v="3"/>
    <x v="3"/>
    <x v="0"/>
    <x v="2"/>
    <s v="FUR-05"/>
    <s v="Filing Cabinet"/>
    <x v="4"/>
    <n v="2"/>
    <n v="2425.0500000000002"/>
    <n v="0"/>
    <x v="55"/>
    <n v="1513.24"/>
    <n v="56"/>
    <x v="4"/>
  </r>
  <r>
    <s v="ORD-1057"/>
    <x v="53"/>
    <x v="32"/>
    <x v="31"/>
    <x v="0"/>
    <x v="1"/>
    <s v="HOM-08"/>
    <s v="Storage Containers"/>
    <x v="1"/>
    <n v="1"/>
    <n v="1464.79"/>
    <n v="0.15"/>
    <x v="56"/>
    <n v="335.9"/>
    <n v="217.71"/>
    <x v="0"/>
  </r>
  <r>
    <s v="ORD-1058"/>
    <x v="52"/>
    <x v="34"/>
    <x v="33"/>
    <x v="1"/>
    <x v="4"/>
    <s v="OFF-10"/>
    <s v="Notebook Pack"/>
    <x v="2"/>
    <n v="4"/>
    <n v="368.85"/>
    <n v="0.1"/>
    <x v="57"/>
    <n v="433.47"/>
    <n v="54.27"/>
    <x v="2"/>
  </r>
  <r>
    <s v="ORD-1059"/>
    <x v="54"/>
    <x v="38"/>
    <x v="37"/>
    <x v="0"/>
    <x v="0"/>
    <s v="ELE-01"/>
    <s v="Wireless Mouse"/>
    <x v="0"/>
    <n v="5"/>
    <n v="2920.67"/>
    <n v="0.2"/>
    <x v="58"/>
    <n v="1572.76"/>
    <n v="86.38"/>
    <x v="0"/>
  </r>
  <r>
    <s v="ORD-1060"/>
    <x v="55"/>
    <x v="39"/>
    <x v="38"/>
    <x v="2"/>
    <x v="1"/>
    <s v="OFF-07"/>
    <s v="Desk Organizer"/>
    <x v="2"/>
    <n v="9"/>
    <n v="454.99"/>
    <n v="0.05"/>
    <x v="59"/>
    <n v="1555.61"/>
    <n v="29.17"/>
    <x v="4"/>
  </r>
  <r>
    <s v="ORD-1061"/>
    <x v="56"/>
    <x v="40"/>
    <x v="39"/>
    <x v="1"/>
    <x v="4"/>
    <s v="HOM-05"/>
    <s v="Water Bottle"/>
    <x v="1"/>
    <n v="2"/>
    <n v="1453.05"/>
    <n v="0.15"/>
    <x v="60"/>
    <n v="264.48"/>
    <n v="152.30000000000001"/>
    <x v="0"/>
  </r>
  <r>
    <s v="ORD-1062"/>
    <x v="57"/>
    <x v="41"/>
    <x v="40"/>
    <x v="2"/>
    <x v="2"/>
    <s v="HOM-01"/>
    <s v="Non-stick Pan"/>
    <x v="1"/>
    <n v="8"/>
    <n v="2787.23"/>
    <n v="0.05"/>
    <x v="61"/>
    <n v="3812.53"/>
    <n v="61.74"/>
    <x v="1"/>
  </r>
  <r>
    <s v="ORD-1063"/>
    <x v="58"/>
    <x v="42"/>
    <x v="4"/>
    <x v="0"/>
    <x v="0"/>
    <s v="CLO-02"/>
    <s v="Formal Shirt"/>
    <x v="3"/>
    <n v="6"/>
    <n v="1198.3699999999999"/>
    <n v="0"/>
    <x v="62"/>
    <n v="2031"/>
    <n v="217.28"/>
    <x v="2"/>
  </r>
  <r>
    <s v="ORD-1064"/>
    <x v="6"/>
    <x v="43"/>
    <x v="41"/>
    <x v="1"/>
    <x v="3"/>
    <s v="CLO-05"/>
    <s v="Winter Jacket"/>
    <x v="3"/>
    <n v="7"/>
    <n v="2089.85"/>
    <n v="0.1"/>
    <x v="63"/>
    <n v="4985.92"/>
    <n v="40.25"/>
    <x v="2"/>
  </r>
  <r>
    <s v="ORD-1065"/>
    <x v="59"/>
    <x v="40"/>
    <x v="39"/>
    <x v="1"/>
    <x v="4"/>
    <s v="ELE-07"/>
    <s v="Power Bank 20000mAh"/>
    <x v="0"/>
    <n v="1"/>
    <n v="3164.88"/>
    <n v="0.1"/>
    <x v="64"/>
    <n v="742.18"/>
    <n v="32.47"/>
    <x v="1"/>
  </r>
  <r>
    <s v="ORD-1066"/>
    <x v="60"/>
    <x v="44"/>
    <x v="42"/>
    <x v="0"/>
    <x v="1"/>
    <s v="HOM-08"/>
    <s v="Storage Containers"/>
    <x v="1"/>
    <n v="8"/>
    <n v="3895.96"/>
    <n v="0"/>
    <x v="65"/>
    <n v="11944.58"/>
    <n v="50.13"/>
    <x v="2"/>
  </r>
  <r>
    <s v="ORD-1067"/>
    <x v="61"/>
    <x v="45"/>
    <x v="43"/>
    <x v="1"/>
    <x v="3"/>
    <s v="CLO-02"/>
    <s v="Formal Shirt"/>
    <x v="3"/>
    <n v="11"/>
    <n v="1639.52"/>
    <n v="0"/>
    <x v="66"/>
    <n v="4915.4399999999996"/>
    <n v="91.47"/>
    <x v="0"/>
  </r>
  <r>
    <s v="ORD-1068"/>
    <x v="62"/>
    <x v="33"/>
    <x v="32"/>
    <x v="0"/>
    <x v="2"/>
    <s v="CLO-02"/>
    <s v="Formal Shirt"/>
    <x v="3"/>
    <n v="2"/>
    <n v="1315.19"/>
    <n v="0"/>
    <x v="67"/>
    <n v="757.74"/>
    <n v="55.41"/>
    <x v="2"/>
  </r>
  <r>
    <s v="ORD-1069"/>
    <x v="63"/>
    <x v="1"/>
    <x v="1"/>
    <x v="1"/>
    <x v="1"/>
    <s v="OFF-07"/>
    <s v="Desk Organizer"/>
    <x v="2"/>
    <n v="8"/>
    <n v="232.8"/>
    <n v="0.1"/>
    <x v="68"/>
    <n v="584.49"/>
    <n v="63.84"/>
    <x v="1"/>
  </r>
  <r>
    <s v="ORD-1070"/>
    <x v="64"/>
    <x v="1"/>
    <x v="1"/>
    <x v="1"/>
    <x v="1"/>
    <s v="FUR-02"/>
    <s v="Study Table"/>
    <x v="4"/>
    <n v="7"/>
    <n v="3851.03"/>
    <n v="0.2"/>
    <x v="69"/>
    <n v="3317.51"/>
    <n v="208.73"/>
    <x v="2"/>
  </r>
  <r>
    <s v="ORD-1071"/>
    <x v="65"/>
    <x v="35"/>
    <x v="34"/>
    <x v="2"/>
    <x v="3"/>
    <s v="HOM-10"/>
    <s v="Table Lamp"/>
    <x v="1"/>
    <n v="8"/>
    <n v="4380.2"/>
    <n v="0.05"/>
    <x v="70"/>
    <n v="9298.4599999999991"/>
    <n v="99.38"/>
    <x v="1"/>
  </r>
  <r>
    <s v="ORD-1072"/>
    <x v="66"/>
    <x v="0"/>
    <x v="0"/>
    <x v="0"/>
    <x v="0"/>
    <s v="CLO-08"/>
    <s v="Casual Sneakers"/>
    <x v="3"/>
    <n v="4"/>
    <n v="2457.6999999999998"/>
    <n v="0"/>
    <x v="71"/>
    <n v="3018.55"/>
    <n v="73.72"/>
    <x v="4"/>
  </r>
  <r>
    <s v="ORD-1073"/>
    <x v="67"/>
    <x v="46"/>
    <x v="44"/>
    <x v="0"/>
    <x v="4"/>
    <s v="OFF-08"/>
    <s v="Printer Ink Cartridge"/>
    <x v="2"/>
    <n v="7"/>
    <n v="339.56"/>
    <n v="0.15"/>
    <x v="72"/>
    <n v="242.21"/>
    <n v="169.96"/>
    <x v="3"/>
  </r>
  <r>
    <s v="ORD-1074"/>
    <x v="68"/>
    <x v="47"/>
    <x v="45"/>
    <x v="0"/>
    <x v="1"/>
    <s v="ELE-03"/>
    <s v="USB-C Charger"/>
    <x v="0"/>
    <n v="10"/>
    <n v="1894.78"/>
    <n v="0"/>
    <x v="73"/>
    <n v="4385.51"/>
    <n v="121.27"/>
    <x v="1"/>
  </r>
  <r>
    <s v="ORD-1075"/>
    <x v="69"/>
    <x v="48"/>
    <x v="46"/>
    <x v="0"/>
    <x v="1"/>
    <s v="ELE-03"/>
    <s v="USB-C Charger"/>
    <x v="0"/>
    <n v="11"/>
    <n v="4382.83"/>
    <n v="0"/>
    <x v="74"/>
    <n v="16036.34"/>
    <n v="242.92"/>
    <x v="2"/>
  </r>
  <r>
    <s v="ORD-1076"/>
    <x v="70"/>
    <x v="49"/>
    <x v="47"/>
    <x v="0"/>
    <x v="4"/>
    <s v="CLO-02"/>
    <s v="Formal Shirt"/>
    <x v="3"/>
    <n v="11"/>
    <n v="2190.5500000000002"/>
    <n v="0.05"/>
    <x v="75"/>
    <n v="3890.67"/>
    <n v="164.16"/>
    <x v="4"/>
  </r>
  <r>
    <s v="ORD-1077"/>
    <x v="1"/>
    <x v="0"/>
    <x v="0"/>
    <x v="0"/>
    <x v="0"/>
    <s v="ELE-10"/>
    <s v="Router AC1200"/>
    <x v="0"/>
    <n v="4"/>
    <n v="3061.53"/>
    <n v="0"/>
    <x v="76"/>
    <n v="2457.1"/>
    <n v="191.76"/>
    <x v="4"/>
  </r>
  <r>
    <s v="ORD-1078"/>
    <x v="71"/>
    <x v="50"/>
    <x v="48"/>
    <x v="2"/>
    <x v="1"/>
    <s v="ELE-08"/>
    <s v="Smartwatch"/>
    <x v="0"/>
    <n v="12"/>
    <n v="1767.92"/>
    <n v="0"/>
    <x v="77"/>
    <n v="9302.84"/>
    <n v="203.11"/>
    <x v="2"/>
  </r>
  <r>
    <s v="ORD-1079"/>
    <x v="72"/>
    <x v="9"/>
    <x v="9"/>
    <x v="0"/>
    <x v="0"/>
    <s v="OFF-07"/>
    <s v="Desk Organizer"/>
    <x v="2"/>
    <n v="4"/>
    <n v="448.37"/>
    <n v="0.1"/>
    <x v="78"/>
    <n v="322.02"/>
    <n v="61.41"/>
    <x v="3"/>
  </r>
  <r>
    <s v="ORD-1080"/>
    <x v="73"/>
    <x v="17"/>
    <x v="17"/>
    <x v="2"/>
    <x v="0"/>
    <s v="HOM-07"/>
    <s v="Air Fryer"/>
    <x v="1"/>
    <n v="11"/>
    <n v="1507.82"/>
    <n v="0.1"/>
    <x v="79"/>
    <n v="5211.67"/>
    <n v="126.06"/>
    <x v="2"/>
  </r>
  <r>
    <s v="ORD-1081"/>
    <x v="74"/>
    <x v="48"/>
    <x v="46"/>
    <x v="0"/>
    <x v="1"/>
    <s v="OFF-01"/>
    <s v="A4 Paper Ream"/>
    <x v="2"/>
    <n v="5"/>
    <n v="558.21"/>
    <n v="0"/>
    <x v="80"/>
    <n v="1204.43"/>
    <n v="237.4"/>
    <x v="1"/>
  </r>
  <r>
    <s v="ORD-1082"/>
    <x v="75"/>
    <x v="35"/>
    <x v="34"/>
    <x v="2"/>
    <x v="3"/>
    <s v="CLO-05"/>
    <s v="Winter Jacket"/>
    <x v="3"/>
    <n v="5"/>
    <n v="738.28"/>
    <n v="0.05"/>
    <x v="81"/>
    <n v="689.06"/>
    <n v="44.53"/>
    <x v="4"/>
  </r>
  <r>
    <s v="ORD-1083"/>
    <x v="76"/>
    <x v="23"/>
    <x v="23"/>
    <x v="0"/>
    <x v="2"/>
    <s v="OFF-10"/>
    <s v="Notebook Pack"/>
    <x v="2"/>
    <n v="12"/>
    <n v="271.42"/>
    <n v="0.2"/>
    <x v="82"/>
    <n v="278.29000000000002"/>
    <n v="83.13"/>
    <x v="1"/>
  </r>
  <r>
    <s v="ORD-1084"/>
    <x v="77"/>
    <x v="51"/>
    <x v="49"/>
    <x v="2"/>
    <x v="4"/>
    <s v="HOM-08"/>
    <s v="Storage Containers"/>
    <x v="1"/>
    <n v="4"/>
    <n v="3192.5"/>
    <n v="0"/>
    <x v="83"/>
    <n v="5047.33"/>
    <n v="63.73"/>
    <x v="2"/>
  </r>
  <r>
    <s v="ORD-1085"/>
    <x v="78"/>
    <x v="21"/>
    <x v="21"/>
    <x v="2"/>
    <x v="0"/>
    <s v="ELE-01"/>
    <s v="Wireless Mouse"/>
    <x v="0"/>
    <n v="8"/>
    <n v="730.12"/>
    <n v="0"/>
    <x v="84"/>
    <n v="1559.01"/>
    <n v="40.729999999999997"/>
    <x v="2"/>
  </r>
  <r>
    <s v="ORD-1086"/>
    <x v="79"/>
    <x v="40"/>
    <x v="39"/>
    <x v="1"/>
    <x v="4"/>
    <s v="CLO-03"/>
    <s v="Denim Jeans"/>
    <x v="3"/>
    <n v="3"/>
    <n v="2030.33"/>
    <n v="0"/>
    <x v="85"/>
    <n v="1932.59"/>
    <n v="230.1"/>
    <x v="3"/>
  </r>
  <r>
    <s v="ORD-1087"/>
    <x v="80"/>
    <x v="52"/>
    <x v="50"/>
    <x v="0"/>
    <x v="3"/>
    <s v="CLO-05"/>
    <s v="Winter Jacket"/>
    <x v="3"/>
    <n v="2"/>
    <n v="1330.33"/>
    <n v="0"/>
    <x v="86"/>
    <n v="1103.67"/>
    <n v="242.3"/>
    <x v="4"/>
  </r>
  <r>
    <s v="ORD-1088"/>
    <x v="81"/>
    <x v="53"/>
    <x v="51"/>
    <x v="0"/>
    <x v="1"/>
    <s v="OFF-02"/>
    <s v="Stapler"/>
    <x v="2"/>
    <n v="1"/>
    <n v="248.34"/>
    <n v="0"/>
    <x v="87"/>
    <n v="83.52"/>
    <n v="174.75"/>
    <x v="2"/>
  </r>
  <r>
    <s v="ORD-1089"/>
    <x v="16"/>
    <x v="11"/>
    <x v="11"/>
    <x v="0"/>
    <x v="2"/>
    <s v="CLO-06"/>
    <s v="Sports Cap"/>
    <x v="3"/>
    <n v="11"/>
    <n v="814.41"/>
    <n v="0"/>
    <x v="88"/>
    <n v="2643.78"/>
    <n v="236.93"/>
    <x v="2"/>
  </r>
  <r>
    <s v="ORD-1090"/>
    <x v="82"/>
    <x v="54"/>
    <x v="52"/>
    <x v="0"/>
    <x v="3"/>
    <s v="FUR-02"/>
    <s v="Study Table"/>
    <x v="4"/>
    <n v="8"/>
    <n v="8293.2199999999993"/>
    <n v="0"/>
    <x v="89"/>
    <n v="19087.02"/>
    <n v="46.84"/>
    <x v="0"/>
  </r>
  <r>
    <s v="ORD-1091"/>
    <x v="83"/>
    <x v="55"/>
    <x v="53"/>
    <x v="1"/>
    <x v="4"/>
    <s v="OFF-08"/>
    <s v="Printer Ink Cartridge"/>
    <x v="2"/>
    <n v="2"/>
    <n v="226.1"/>
    <n v="0.1"/>
    <x v="90"/>
    <n v="142.93"/>
    <n v="124.34"/>
    <x v="1"/>
  </r>
  <r>
    <s v="ORD-1092"/>
    <x v="84"/>
    <x v="19"/>
    <x v="19"/>
    <x v="2"/>
    <x v="0"/>
    <s v="HOM-03"/>
    <s v="Mixer Grinder"/>
    <x v="1"/>
    <n v="11"/>
    <n v="855.5"/>
    <n v="0.05"/>
    <x v="91"/>
    <n v="2315.81"/>
    <n v="235.98"/>
    <x v="2"/>
  </r>
  <r>
    <s v="ORD-1093"/>
    <x v="85"/>
    <x v="55"/>
    <x v="53"/>
    <x v="1"/>
    <x v="4"/>
    <s v="OFF-04"/>
    <s v="Ball Pen Box"/>
    <x v="2"/>
    <n v="8"/>
    <n v="762.92"/>
    <n v="0.2"/>
    <x v="92"/>
    <n v="972.44"/>
    <n v="245.61"/>
    <x v="2"/>
  </r>
  <r>
    <s v="ORD-1094"/>
    <x v="86"/>
    <x v="0"/>
    <x v="0"/>
    <x v="0"/>
    <x v="0"/>
    <s v="OFF-01"/>
    <s v="A4 Paper Ream"/>
    <x v="2"/>
    <n v="5"/>
    <n v="192.36"/>
    <n v="0"/>
    <x v="93"/>
    <n v="204.62"/>
    <n v="209.56"/>
    <x v="0"/>
  </r>
  <r>
    <s v="ORD-1095"/>
    <x v="87"/>
    <x v="56"/>
    <x v="54"/>
    <x v="0"/>
    <x v="0"/>
    <s v="HOM-01"/>
    <s v="Non-stick Pan"/>
    <x v="1"/>
    <n v="6"/>
    <n v="1520.42"/>
    <n v="0"/>
    <x v="94"/>
    <n v="2310.33"/>
    <n v="67.2"/>
    <x v="1"/>
  </r>
  <r>
    <s v="ORD-1096"/>
    <x v="88"/>
    <x v="3"/>
    <x v="3"/>
    <x v="0"/>
    <x v="2"/>
    <s v="HOM-04"/>
    <s v="Dinner Set"/>
    <x v="1"/>
    <n v="6"/>
    <n v="3962.1"/>
    <n v="0.2"/>
    <x v="95"/>
    <n v="591.16"/>
    <n v="20.65"/>
    <x v="3"/>
  </r>
  <r>
    <s v="ORD-1097"/>
    <x v="57"/>
    <x v="57"/>
    <x v="55"/>
    <x v="0"/>
    <x v="3"/>
    <s v="HOM-05"/>
    <s v="Water Bottle"/>
    <x v="1"/>
    <n v="2"/>
    <n v="3440.87"/>
    <n v="0"/>
    <x v="96"/>
    <n v="2870.02"/>
    <n v="102.4"/>
    <x v="3"/>
  </r>
  <r>
    <s v="ORD-1098"/>
    <x v="57"/>
    <x v="58"/>
    <x v="38"/>
    <x v="0"/>
    <x v="2"/>
    <s v="OFF-01"/>
    <s v="A4 Paper Ream"/>
    <x v="2"/>
    <n v="5"/>
    <n v="89.3"/>
    <n v="0.15"/>
    <x v="97"/>
    <n v="86.96"/>
    <n v="46.14"/>
    <x v="0"/>
  </r>
  <r>
    <s v="ORD-1099"/>
    <x v="89"/>
    <x v="59"/>
    <x v="56"/>
    <x v="2"/>
    <x v="2"/>
    <s v="CLO-06"/>
    <s v="Sports Cap"/>
    <x v="3"/>
    <n v="10"/>
    <n v="539.91999999999996"/>
    <n v="0.1"/>
    <x v="98"/>
    <n v="1590.67"/>
    <n v="161.47"/>
    <x v="1"/>
  </r>
  <r>
    <s v="ORD-1100"/>
    <x v="27"/>
    <x v="35"/>
    <x v="34"/>
    <x v="2"/>
    <x v="3"/>
    <s v="CLO-01"/>
    <s v="Cotton T-Shirt"/>
    <x v="3"/>
    <n v="8"/>
    <n v="2164.06"/>
    <n v="0.05"/>
    <x v="99"/>
    <n v="3955.48"/>
    <n v="132.76"/>
    <x v="4"/>
  </r>
  <r>
    <s v="ORD-1101"/>
    <x v="90"/>
    <x v="60"/>
    <x v="57"/>
    <x v="0"/>
    <x v="1"/>
    <s v="ELE-06"/>
    <s v="Noise Cancelling Headphones"/>
    <x v="0"/>
    <n v="3"/>
    <n v="856.16"/>
    <n v="0"/>
    <x v="100"/>
    <n v="754.93"/>
    <n v="154.63"/>
    <x v="2"/>
  </r>
  <r>
    <s v="ORD-1102"/>
    <x v="43"/>
    <x v="37"/>
    <x v="36"/>
    <x v="0"/>
    <x v="4"/>
    <s v="HOM-09"/>
    <s v="Bedsheet Set"/>
    <x v="1"/>
    <n v="8"/>
    <n v="2725.53"/>
    <n v="0.05"/>
    <x v="101"/>
    <n v="8181.07"/>
    <n v="181.41"/>
    <x v="1"/>
  </r>
  <r>
    <s v="ORD-1103"/>
    <x v="91"/>
    <x v="56"/>
    <x v="54"/>
    <x v="0"/>
    <x v="0"/>
    <s v="CLO-08"/>
    <s v="Casual Sneakers"/>
    <x v="3"/>
    <n v="7"/>
    <n v="1045.6500000000001"/>
    <n v="0.05"/>
    <x v="102"/>
    <n v="2198.19"/>
    <n v="187.81"/>
    <x v="2"/>
  </r>
  <r>
    <s v="ORD-1104"/>
    <x v="92"/>
    <x v="20"/>
    <x v="20"/>
    <x v="2"/>
    <x v="1"/>
    <s v="OFF-05"/>
    <s v="File Folder"/>
    <x v="2"/>
    <n v="3"/>
    <n v="565.12"/>
    <n v="0.05"/>
    <x v="103"/>
    <n v="649.69000000000005"/>
    <n v="211.31"/>
    <x v="0"/>
  </r>
  <r>
    <s v="ORD-1105"/>
    <x v="93"/>
    <x v="42"/>
    <x v="4"/>
    <x v="0"/>
    <x v="0"/>
    <s v="ELE-06"/>
    <s v="Noise Cancelling Headphones"/>
    <x v="0"/>
    <n v="9"/>
    <n v="833.93"/>
    <n v="0.1"/>
    <x v="104"/>
    <n v="1572.97"/>
    <n v="174.1"/>
    <x v="4"/>
  </r>
  <r>
    <s v="ORD-1106"/>
    <x v="94"/>
    <x v="9"/>
    <x v="9"/>
    <x v="0"/>
    <x v="0"/>
    <s v="CLO-01"/>
    <s v="Cotton T-Shirt"/>
    <x v="3"/>
    <n v="10"/>
    <n v="987.39"/>
    <n v="0"/>
    <x v="105"/>
    <n v="3016.68"/>
    <n v="68.930000000000007"/>
    <x v="4"/>
  </r>
  <r>
    <s v="ORD-1107"/>
    <x v="95"/>
    <x v="18"/>
    <x v="18"/>
    <x v="1"/>
    <x v="4"/>
    <s v="ELE-06"/>
    <s v="Noise Cancelling Headphones"/>
    <x v="0"/>
    <n v="6"/>
    <n v="1048.05"/>
    <n v="0"/>
    <x v="106"/>
    <n v="1927.21"/>
    <n v="205.66"/>
    <x v="1"/>
  </r>
  <r>
    <s v="ORD-1108"/>
    <x v="56"/>
    <x v="49"/>
    <x v="47"/>
    <x v="0"/>
    <x v="4"/>
    <s v="HOM-09"/>
    <s v="Bedsheet Set"/>
    <x v="1"/>
    <n v="10"/>
    <n v="4673.79"/>
    <n v="0.2"/>
    <x v="107"/>
    <n v="3581.63"/>
    <n v="26.66"/>
    <x v="2"/>
  </r>
  <r>
    <s v="ORD-1109"/>
    <x v="28"/>
    <x v="61"/>
    <x v="58"/>
    <x v="1"/>
    <x v="0"/>
    <s v="OFF-06"/>
    <s v="Whiteboard Marker"/>
    <x v="2"/>
    <n v="3"/>
    <n v="702.4"/>
    <n v="0.1"/>
    <x v="108"/>
    <n v="391.23"/>
    <n v="36"/>
    <x v="0"/>
  </r>
  <r>
    <s v="ORD-1110"/>
    <x v="96"/>
    <x v="30"/>
    <x v="29"/>
    <x v="0"/>
    <x v="2"/>
    <s v="HOM-04"/>
    <s v="Dinner Set"/>
    <x v="1"/>
    <n v="7"/>
    <n v="2486.77"/>
    <n v="0"/>
    <x v="109"/>
    <n v="6222.91"/>
    <n v="185.97"/>
    <x v="1"/>
  </r>
  <r>
    <s v="ORD-1111"/>
    <x v="97"/>
    <x v="62"/>
    <x v="59"/>
    <x v="2"/>
    <x v="2"/>
    <s v="ELE-01"/>
    <s v="Wireless Mouse"/>
    <x v="0"/>
    <n v="3"/>
    <n v="3542.3"/>
    <n v="0"/>
    <x v="110"/>
    <n v="2991.56"/>
    <n v="82.58"/>
    <x v="4"/>
  </r>
  <r>
    <s v="ORD-1112"/>
    <x v="84"/>
    <x v="7"/>
    <x v="7"/>
    <x v="0"/>
    <x v="2"/>
    <s v="HOM-08"/>
    <s v="Storage Containers"/>
    <x v="1"/>
    <n v="5"/>
    <n v="1391.62"/>
    <n v="0.1"/>
    <x v="111"/>
    <n v="2237.35"/>
    <n v="118.88"/>
    <x v="2"/>
  </r>
  <r>
    <s v="ORD-1113"/>
    <x v="11"/>
    <x v="58"/>
    <x v="38"/>
    <x v="0"/>
    <x v="2"/>
    <s v="CLO-09"/>
    <s v="Track Pants"/>
    <x v="3"/>
    <n v="5"/>
    <n v="399.92"/>
    <n v="0.05"/>
    <x v="112"/>
    <n v="307.72000000000003"/>
    <n v="32.6"/>
    <x v="3"/>
  </r>
  <r>
    <s v="ORD-1114"/>
    <x v="98"/>
    <x v="35"/>
    <x v="34"/>
    <x v="2"/>
    <x v="3"/>
    <s v="FUR-03"/>
    <s v="Bookshelf"/>
    <x v="4"/>
    <n v="5"/>
    <n v="3759.35"/>
    <n v="0"/>
    <x v="113"/>
    <n v="6121.23"/>
    <n v="119.05"/>
    <x v="3"/>
  </r>
  <r>
    <s v="ORD-1115"/>
    <x v="99"/>
    <x v="37"/>
    <x v="36"/>
    <x v="0"/>
    <x v="4"/>
    <s v="HOM-04"/>
    <s v="Dinner Set"/>
    <x v="1"/>
    <n v="9"/>
    <n v="4233.43"/>
    <n v="0.2"/>
    <x v="114"/>
    <n v="6151.7"/>
    <n v="111.33"/>
    <x v="0"/>
  </r>
  <r>
    <s v="ORD-1116"/>
    <x v="100"/>
    <x v="42"/>
    <x v="4"/>
    <x v="0"/>
    <x v="0"/>
    <s v="ELE-08"/>
    <s v="Smartwatch"/>
    <x v="0"/>
    <n v="6"/>
    <n v="2845.46"/>
    <n v="0.1"/>
    <x v="115"/>
    <n v="4249.3100000000004"/>
    <n v="167.23"/>
    <x v="2"/>
  </r>
  <r>
    <s v="ORD-1117"/>
    <x v="101"/>
    <x v="12"/>
    <x v="12"/>
    <x v="1"/>
    <x v="3"/>
    <s v="CLO-01"/>
    <s v="Cotton T-Shirt"/>
    <x v="3"/>
    <n v="3"/>
    <n v="2062.91"/>
    <n v="0.1"/>
    <x v="116"/>
    <n v="1454.2"/>
    <n v="178.61"/>
    <x v="2"/>
  </r>
  <r>
    <s v="ORD-1118"/>
    <x v="40"/>
    <x v="30"/>
    <x v="29"/>
    <x v="0"/>
    <x v="2"/>
    <s v="CLO-02"/>
    <s v="Formal Shirt"/>
    <x v="3"/>
    <n v="7"/>
    <n v="1595.52"/>
    <n v="0.1"/>
    <x v="117"/>
    <n v="3689.43"/>
    <n v="220.22"/>
    <x v="2"/>
  </r>
  <r>
    <s v="ORD-1119"/>
    <x v="100"/>
    <x v="18"/>
    <x v="18"/>
    <x v="1"/>
    <x v="4"/>
    <s v="OFF-03"/>
    <s v="Sticky Notes Pack"/>
    <x v="2"/>
    <n v="9"/>
    <n v="524.91999999999996"/>
    <n v="0.1"/>
    <x v="118"/>
    <n v="1051.21"/>
    <n v="228.36"/>
    <x v="2"/>
  </r>
  <r>
    <s v="ORD-1120"/>
    <x v="102"/>
    <x v="10"/>
    <x v="10"/>
    <x v="1"/>
    <x v="0"/>
    <s v="FUR-04"/>
    <s v="Bean Bag"/>
    <x v="4"/>
    <n v="3"/>
    <n v="3196.55"/>
    <n v="0"/>
    <x v="119"/>
    <n v="2871.14"/>
    <n v="194.85"/>
    <x v="0"/>
  </r>
  <r>
    <s v="ORD-1121"/>
    <x v="4"/>
    <x v="15"/>
    <x v="15"/>
    <x v="1"/>
    <x v="4"/>
    <s v="CLO-08"/>
    <s v="Casual Sneakers"/>
    <x v="3"/>
    <n v="10"/>
    <n v="1287.5899999999999"/>
    <n v="0.1"/>
    <x v="120"/>
    <n v="2436.79"/>
    <n v="246.9"/>
    <x v="2"/>
  </r>
  <r>
    <s v="ORD-1122"/>
    <x v="103"/>
    <x v="63"/>
    <x v="60"/>
    <x v="1"/>
    <x v="1"/>
    <s v="FUR-08"/>
    <s v="Bed Frame"/>
    <x v="4"/>
    <n v="8"/>
    <n v="4649.22"/>
    <n v="0"/>
    <x v="121"/>
    <n v="9332.57"/>
    <n v="156.03"/>
    <x v="2"/>
  </r>
  <r>
    <s v="ORD-1123"/>
    <x v="104"/>
    <x v="14"/>
    <x v="14"/>
    <x v="2"/>
    <x v="2"/>
    <s v="ELE-05"/>
    <s v="Webcam HD"/>
    <x v="0"/>
    <n v="8"/>
    <n v="746.67"/>
    <n v="0"/>
    <x v="122"/>
    <n v="1446.01"/>
    <n v="37.65"/>
    <x v="0"/>
  </r>
  <r>
    <s v="ORD-1124"/>
    <x v="105"/>
    <x v="54"/>
    <x v="52"/>
    <x v="0"/>
    <x v="3"/>
    <s v="HOM-09"/>
    <s v="Bedsheet Set"/>
    <x v="1"/>
    <n v="8"/>
    <n v="3069.52"/>
    <n v="0.2"/>
    <x v="123"/>
    <n v="1602.78"/>
    <n v="29.44"/>
    <x v="1"/>
  </r>
  <r>
    <s v="ORD-1125"/>
    <x v="106"/>
    <x v="64"/>
    <x v="61"/>
    <x v="2"/>
    <x v="2"/>
    <s v="OFF-10"/>
    <s v="Notebook Pack"/>
    <x v="2"/>
    <n v="9"/>
    <n v="163.15"/>
    <n v="0"/>
    <x v="124"/>
    <n v="495.38"/>
    <n v="206.52"/>
    <x v="2"/>
  </r>
  <r>
    <s v="ORD-1126"/>
    <x v="2"/>
    <x v="17"/>
    <x v="17"/>
    <x v="2"/>
    <x v="0"/>
    <s v="HOM-03"/>
    <s v="Mixer Grinder"/>
    <x v="1"/>
    <n v="4"/>
    <n v="3655.06"/>
    <n v="0.05"/>
    <x v="125"/>
    <n v="3932.6"/>
    <n v="160.26"/>
    <x v="2"/>
  </r>
  <r>
    <s v="ORD-1127"/>
    <x v="69"/>
    <x v="65"/>
    <x v="62"/>
    <x v="0"/>
    <x v="1"/>
    <s v="OFF-07"/>
    <s v="Desk Organizer"/>
    <x v="2"/>
    <n v="6"/>
    <n v="559.16999999999996"/>
    <n v="0"/>
    <x v="126"/>
    <n v="847.79"/>
    <n v="168.88"/>
    <x v="0"/>
  </r>
  <r>
    <s v="ORD-1128"/>
    <x v="15"/>
    <x v="66"/>
    <x v="63"/>
    <x v="0"/>
    <x v="0"/>
    <s v="ELE-09"/>
    <s v="Mechanical Keyboard"/>
    <x v="0"/>
    <n v="7"/>
    <n v="1708.17"/>
    <n v="0.15"/>
    <x v="127"/>
    <n v="1041.57"/>
    <n v="241.81"/>
    <x v="1"/>
  </r>
  <r>
    <s v="ORD-1129"/>
    <x v="10"/>
    <x v="6"/>
    <x v="6"/>
    <x v="1"/>
    <x v="0"/>
    <s v="OFF-02"/>
    <s v="Stapler"/>
    <x v="2"/>
    <n v="11"/>
    <n v="156.07"/>
    <n v="0"/>
    <x v="128"/>
    <n v="639.4"/>
    <n v="170.89"/>
    <x v="4"/>
  </r>
  <r>
    <s v="ORD-1130"/>
    <x v="78"/>
    <x v="57"/>
    <x v="55"/>
    <x v="0"/>
    <x v="3"/>
    <s v="HOM-02"/>
    <s v="Electric Kettle"/>
    <x v="1"/>
    <n v="9"/>
    <n v="2132.7199999999998"/>
    <n v="0.2"/>
    <x v="129"/>
    <n v="3222.38"/>
    <n v="49.39"/>
    <x v="1"/>
  </r>
  <r>
    <s v="ORD-1131"/>
    <x v="107"/>
    <x v="30"/>
    <x v="29"/>
    <x v="0"/>
    <x v="2"/>
    <s v="CLO-09"/>
    <s v="Track Pants"/>
    <x v="3"/>
    <n v="1"/>
    <n v="1097.71"/>
    <n v="0"/>
    <x v="130"/>
    <n v="232.94"/>
    <n v="98.6"/>
    <x v="4"/>
  </r>
  <r>
    <s v="ORD-1132"/>
    <x v="97"/>
    <x v="64"/>
    <x v="61"/>
    <x v="2"/>
    <x v="2"/>
    <s v="FUR-03"/>
    <s v="Bookshelf"/>
    <x v="4"/>
    <n v="2"/>
    <n v="3507.18"/>
    <n v="0.2"/>
    <x v="131"/>
    <n v="1576.23"/>
    <n v="197.3"/>
    <x v="1"/>
  </r>
  <r>
    <s v="ORD-1133"/>
    <x v="108"/>
    <x v="55"/>
    <x v="53"/>
    <x v="1"/>
    <x v="4"/>
    <s v="OFF-10"/>
    <s v="Notebook Pack"/>
    <x v="2"/>
    <n v="10"/>
    <n v="332.54"/>
    <n v="0"/>
    <x v="132"/>
    <n v="1346.08"/>
    <n v="179.35"/>
    <x v="1"/>
  </r>
  <r>
    <s v="ORD-1134"/>
    <x v="109"/>
    <x v="25"/>
    <x v="25"/>
    <x v="0"/>
    <x v="2"/>
    <s v="CLO-01"/>
    <s v="Cotton T-Shirt"/>
    <x v="3"/>
    <n v="6"/>
    <n v="1788"/>
    <n v="0"/>
    <x v="133"/>
    <n v="2227.16"/>
    <n v="160.44"/>
    <x v="4"/>
  </r>
  <r>
    <s v="ORD-1135"/>
    <x v="78"/>
    <x v="34"/>
    <x v="33"/>
    <x v="1"/>
    <x v="4"/>
    <s v="HOM-04"/>
    <s v="Dinner Set"/>
    <x v="1"/>
    <n v="8"/>
    <n v="4558.28"/>
    <n v="0"/>
    <x v="134"/>
    <n v="13056.36"/>
    <n v="237.84"/>
    <x v="4"/>
  </r>
  <r>
    <s v="ORD-1136"/>
    <x v="68"/>
    <x v="39"/>
    <x v="38"/>
    <x v="2"/>
    <x v="1"/>
    <s v="OFF-07"/>
    <s v="Desk Organizer"/>
    <x v="2"/>
    <n v="9"/>
    <n v="364"/>
    <n v="0"/>
    <x v="135"/>
    <n v="805.17"/>
    <n v="204.29"/>
    <x v="3"/>
  </r>
  <r>
    <s v="ORD-1137"/>
    <x v="110"/>
    <x v="52"/>
    <x v="50"/>
    <x v="0"/>
    <x v="3"/>
    <s v="ELE-08"/>
    <s v="Smartwatch"/>
    <x v="0"/>
    <n v="9"/>
    <n v="4243.74"/>
    <n v="0.15"/>
    <x v="136"/>
    <n v="3381.17"/>
    <n v="215.77"/>
    <x v="2"/>
  </r>
  <r>
    <s v="ORD-1138"/>
    <x v="111"/>
    <x v="17"/>
    <x v="17"/>
    <x v="2"/>
    <x v="0"/>
    <s v="FUR-05"/>
    <s v="Filing Cabinet"/>
    <x v="4"/>
    <n v="9"/>
    <n v="2349.3200000000002"/>
    <n v="0.05"/>
    <x v="137"/>
    <n v="7972.76"/>
    <n v="229.42"/>
    <x v="4"/>
  </r>
  <r>
    <s v="ORD-1139"/>
    <x v="112"/>
    <x v="10"/>
    <x v="10"/>
    <x v="1"/>
    <x v="0"/>
    <s v="ELE-07"/>
    <s v="Power Bank 20000mAh"/>
    <x v="0"/>
    <n v="7"/>
    <n v="2557.83"/>
    <n v="0"/>
    <x v="138"/>
    <n v="6328.61"/>
    <n v="38.770000000000003"/>
    <x v="3"/>
  </r>
  <r>
    <s v="ORD-1140"/>
    <x v="113"/>
    <x v="67"/>
    <x v="64"/>
    <x v="0"/>
    <x v="1"/>
    <s v="OFF-02"/>
    <s v="Stapler"/>
    <x v="2"/>
    <n v="11"/>
    <n v="301.47000000000003"/>
    <n v="0"/>
    <x v="139"/>
    <n v="1378.2"/>
    <n v="85.98"/>
    <x v="4"/>
  </r>
  <r>
    <s v="ORD-1141"/>
    <x v="114"/>
    <x v="21"/>
    <x v="21"/>
    <x v="2"/>
    <x v="0"/>
    <s v="CLO-08"/>
    <s v="Casual Sneakers"/>
    <x v="3"/>
    <n v="1"/>
    <n v="2292.89"/>
    <n v="0"/>
    <x v="140"/>
    <n v="885.1"/>
    <n v="212.04"/>
    <x v="1"/>
  </r>
  <r>
    <s v="ORD-1142"/>
    <x v="115"/>
    <x v="16"/>
    <x v="16"/>
    <x v="1"/>
    <x v="4"/>
    <s v="HOM-07"/>
    <s v="Air Fryer"/>
    <x v="1"/>
    <n v="5"/>
    <n v="1493.15"/>
    <n v="0"/>
    <x v="141"/>
    <n v="3270.47"/>
    <n v="116.56"/>
    <x v="1"/>
  </r>
  <r>
    <s v="ORD-1143"/>
    <x v="116"/>
    <x v="48"/>
    <x v="46"/>
    <x v="0"/>
    <x v="1"/>
    <s v="ELE-02"/>
    <s v="Bluetooth Speaker"/>
    <x v="0"/>
    <n v="10"/>
    <n v="2690.61"/>
    <n v="0.15"/>
    <x v="142"/>
    <n v="4605.1499999999996"/>
    <n v="75.650000000000006"/>
    <x v="3"/>
  </r>
  <r>
    <s v="ORD-1144"/>
    <x v="117"/>
    <x v="68"/>
    <x v="65"/>
    <x v="2"/>
    <x v="0"/>
    <s v="CLO-01"/>
    <s v="Cotton T-Shirt"/>
    <x v="3"/>
    <n v="6"/>
    <n v="829.24"/>
    <n v="0.05"/>
    <x v="143"/>
    <n v="1757.19"/>
    <n v="173.69"/>
    <x v="1"/>
  </r>
  <r>
    <s v="ORD-1145"/>
    <x v="118"/>
    <x v="44"/>
    <x v="42"/>
    <x v="0"/>
    <x v="1"/>
    <s v="ELE-09"/>
    <s v="Mechanical Keyboard"/>
    <x v="0"/>
    <n v="9"/>
    <n v="3667.01"/>
    <n v="0.1"/>
    <x v="144"/>
    <n v="6978.9"/>
    <n v="109.8"/>
    <x v="4"/>
  </r>
  <r>
    <s v="ORD-1146"/>
    <x v="119"/>
    <x v="46"/>
    <x v="44"/>
    <x v="0"/>
    <x v="4"/>
    <s v="CLO-06"/>
    <s v="Sports Cap"/>
    <x v="3"/>
    <n v="12"/>
    <n v="335.73"/>
    <n v="0.2"/>
    <x v="145"/>
    <n v="939.15"/>
    <n v="75.459999999999994"/>
    <x v="0"/>
  </r>
  <r>
    <s v="ORD-1147"/>
    <x v="120"/>
    <x v="11"/>
    <x v="11"/>
    <x v="0"/>
    <x v="2"/>
    <s v="OFF-03"/>
    <s v="Sticky Notes Pack"/>
    <x v="2"/>
    <n v="6"/>
    <n v="459.51"/>
    <n v="0.2"/>
    <x v="146"/>
    <n v="246.21"/>
    <n v="210.99"/>
    <x v="4"/>
  </r>
  <r>
    <s v="ORD-1148"/>
    <x v="121"/>
    <x v="36"/>
    <x v="35"/>
    <x v="0"/>
    <x v="4"/>
    <s v="FUR-03"/>
    <s v="Bookshelf"/>
    <x v="4"/>
    <n v="12"/>
    <n v="7254.29"/>
    <n v="0.05"/>
    <x v="147"/>
    <n v="34015.72"/>
    <n v="66.37"/>
    <x v="3"/>
  </r>
  <r>
    <s v="ORD-1149"/>
    <x v="59"/>
    <x v="46"/>
    <x v="44"/>
    <x v="0"/>
    <x v="4"/>
    <s v="OFF-05"/>
    <s v="File Folder"/>
    <x v="2"/>
    <n v="7"/>
    <n v="791.84"/>
    <n v="0.1"/>
    <x v="148"/>
    <n v="1284.01"/>
    <n v="28.42"/>
    <x v="3"/>
  </r>
  <r>
    <s v="ORD-1150"/>
    <x v="122"/>
    <x v="69"/>
    <x v="66"/>
    <x v="1"/>
    <x v="1"/>
    <s v="OFF-01"/>
    <s v="A4 Paper Ream"/>
    <x v="2"/>
    <n v="6"/>
    <n v="254.91"/>
    <n v="0.2"/>
    <x v="149"/>
    <n v="241.65"/>
    <n v="224.58"/>
    <x v="4"/>
  </r>
  <r>
    <s v="ORD-1151"/>
    <x v="123"/>
    <x v="70"/>
    <x v="67"/>
    <x v="0"/>
    <x v="2"/>
    <s v="OFF-03"/>
    <s v="Sticky Notes Pack"/>
    <x v="2"/>
    <n v="12"/>
    <n v="423.14"/>
    <n v="0.2"/>
    <x v="150"/>
    <n v="610.24"/>
    <n v="204.26"/>
    <x v="4"/>
  </r>
  <r>
    <s v="ORD-1152"/>
    <x v="124"/>
    <x v="17"/>
    <x v="17"/>
    <x v="2"/>
    <x v="0"/>
    <s v="CLO-10"/>
    <s v="Woolen Sweater"/>
    <x v="3"/>
    <n v="9"/>
    <n v="946.29"/>
    <n v="0"/>
    <x v="151"/>
    <n v="3662"/>
    <n v="172.01"/>
    <x v="2"/>
  </r>
  <r>
    <s v="ORD-1153"/>
    <x v="71"/>
    <x v="32"/>
    <x v="31"/>
    <x v="0"/>
    <x v="1"/>
    <s v="HOM-07"/>
    <s v="Air Fryer"/>
    <x v="1"/>
    <n v="12"/>
    <n v="2441.98"/>
    <n v="0.05"/>
    <x v="152"/>
    <n v="11411.21"/>
    <n v="220.11"/>
    <x v="2"/>
  </r>
  <r>
    <s v="ORD-1154"/>
    <x v="125"/>
    <x v="54"/>
    <x v="52"/>
    <x v="0"/>
    <x v="3"/>
    <s v="CLO-05"/>
    <s v="Winter Jacket"/>
    <x v="3"/>
    <n v="1"/>
    <n v="465.09"/>
    <n v="0.15"/>
    <x v="153"/>
    <n v="92.3"/>
    <n v="138.01"/>
    <x v="3"/>
  </r>
  <r>
    <s v="ORD-1155"/>
    <x v="15"/>
    <x v="67"/>
    <x v="64"/>
    <x v="0"/>
    <x v="1"/>
    <s v="FUR-10"/>
    <s v="Coffee Table"/>
    <x v="4"/>
    <n v="8"/>
    <n v="1471.43"/>
    <n v="0"/>
    <x v="154"/>
    <n v="4602.6499999999996"/>
    <n v="168.39"/>
    <x v="2"/>
  </r>
  <r>
    <s v="ORD-1156"/>
    <x v="7"/>
    <x v="70"/>
    <x v="67"/>
    <x v="0"/>
    <x v="2"/>
    <s v="HOM-01"/>
    <s v="Non-stick Pan"/>
    <x v="1"/>
    <n v="3"/>
    <n v="3523.69"/>
    <n v="0"/>
    <x v="155"/>
    <n v="3773.84"/>
    <n v="195.51"/>
    <x v="1"/>
  </r>
  <r>
    <s v="ORD-1157"/>
    <x v="86"/>
    <x v="21"/>
    <x v="21"/>
    <x v="2"/>
    <x v="0"/>
    <s v="HOM-06"/>
    <s v="Vacuum Cleaner"/>
    <x v="1"/>
    <n v="6"/>
    <n v="3387.98"/>
    <n v="0"/>
    <x v="156"/>
    <n v="4266.21"/>
    <n v="25.96"/>
    <x v="3"/>
  </r>
  <r>
    <s v="ORD-1158"/>
    <x v="126"/>
    <x v="47"/>
    <x v="45"/>
    <x v="0"/>
    <x v="1"/>
    <s v="HOM-07"/>
    <s v="Air Fryer"/>
    <x v="1"/>
    <n v="2"/>
    <n v="1604.17"/>
    <n v="0"/>
    <x v="157"/>
    <n v="879.05"/>
    <n v="69.349999999999994"/>
    <x v="1"/>
  </r>
  <r>
    <s v="ORD-1159"/>
    <x v="127"/>
    <x v="69"/>
    <x v="66"/>
    <x v="1"/>
    <x v="1"/>
    <s v="CLO-04"/>
    <s v="Running Shoes"/>
    <x v="3"/>
    <n v="3"/>
    <n v="2176.2199999999998"/>
    <n v="0.05"/>
    <x v="158"/>
    <n v="2329.66"/>
    <n v="184.08"/>
    <x v="0"/>
  </r>
  <r>
    <s v="ORD-1160"/>
    <x v="128"/>
    <x v="63"/>
    <x v="60"/>
    <x v="1"/>
    <x v="1"/>
    <s v="OFF-02"/>
    <s v="Stapler"/>
    <x v="2"/>
    <n v="9"/>
    <n v="267.77"/>
    <n v="0"/>
    <x v="159"/>
    <n v="571.54"/>
    <n v="183.72"/>
    <x v="3"/>
  </r>
  <r>
    <s v="ORD-1161"/>
    <x v="127"/>
    <x v="44"/>
    <x v="42"/>
    <x v="0"/>
    <x v="1"/>
    <s v="HOM-04"/>
    <s v="Dinner Set"/>
    <x v="1"/>
    <n v="4"/>
    <n v="4043.5"/>
    <n v="0"/>
    <x v="160"/>
    <n v="4082.43"/>
    <n v="26.05"/>
    <x v="1"/>
  </r>
  <r>
    <s v="ORD-1162"/>
    <x v="9"/>
    <x v="23"/>
    <x v="23"/>
    <x v="0"/>
    <x v="2"/>
    <s v="OFF-08"/>
    <s v="Printer Ink Cartridge"/>
    <x v="2"/>
    <n v="3"/>
    <n v="508.96"/>
    <n v="0"/>
    <x v="161"/>
    <n v="662"/>
    <n v="111.58"/>
    <x v="4"/>
  </r>
  <r>
    <s v="ORD-1163"/>
    <x v="129"/>
    <x v="71"/>
    <x v="68"/>
    <x v="0"/>
    <x v="3"/>
    <s v="CLO-07"/>
    <s v="Leather Belt"/>
    <x v="3"/>
    <n v="2"/>
    <n v="575.72"/>
    <n v="0"/>
    <x v="162"/>
    <n v="333.24"/>
    <n v="123.49"/>
    <x v="1"/>
  </r>
  <r>
    <s v="ORD-1164"/>
    <x v="125"/>
    <x v="10"/>
    <x v="10"/>
    <x v="1"/>
    <x v="0"/>
    <s v="FUR-09"/>
    <s v="Wardrobe"/>
    <x v="4"/>
    <n v="10"/>
    <n v="2619.31"/>
    <n v="0"/>
    <x v="163"/>
    <n v="8953.99"/>
    <n v="229.46"/>
    <x v="0"/>
  </r>
  <r>
    <s v="ORD-1165"/>
    <x v="130"/>
    <x v="29"/>
    <x v="28"/>
    <x v="0"/>
    <x v="3"/>
    <s v="HOM-03"/>
    <s v="Mixer Grinder"/>
    <x v="1"/>
    <n v="3"/>
    <n v="1145.05"/>
    <n v="0.15"/>
    <x v="164"/>
    <n v="836.92"/>
    <n v="237.92"/>
    <x v="1"/>
  </r>
  <r>
    <s v="ORD-1166"/>
    <x v="131"/>
    <x v="69"/>
    <x v="66"/>
    <x v="1"/>
    <x v="1"/>
    <s v="ELE-05"/>
    <s v="Webcam HD"/>
    <x v="0"/>
    <n v="11"/>
    <n v="4329.7700000000004"/>
    <n v="0"/>
    <x v="165"/>
    <n v="19941.98"/>
    <n v="89.65"/>
    <x v="1"/>
  </r>
  <r>
    <s v="ORD-1167"/>
    <x v="132"/>
    <x v="30"/>
    <x v="29"/>
    <x v="0"/>
    <x v="2"/>
    <s v="HOM-03"/>
    <s v="Mixer Grinder"/>
    <x v="1"/>
    <n v="10"/>
    <n v="1109.29"/>
    <n v="0.15"/>
    <x v="166"/>
    <n v="1596.05"/>
    <n v="227.46"/>
    <x v="2"/>
  </r>
  <r>
    <s v="ORD-1168"/>
    <x v="32"/>
    <x v="27"/>
    <x v="27"/>
    <x v="0"/>
    <x v="1"/>
    <s v="ELE-01"/>
    <s v="Wireless Mouse"/>
    <x v="0"/>
    <n v="1"/>
    <n v="4299.33"/>
    <n v="0.2"/>
    <x v="167"/>
    <n v="454.9"/>
    <n v="169.76"/>
    <x v="1"/>
  </r>
  <r>
    <s v="ORD-1169"/>
    <x v="123"/>
    <x v="19"/>
    <x v="19"/>
    <x v="2"/>
    <x v="0"/>
    <s v="HOM-01"/>
    <s v="Non-stick Pan"/>
    <x v="1"/>
    <n v="11"/>
    <n v="2909.66"/>
    <n v="0.15"/>
    <x v="168"/>
    <n v="1947.18"/>
    <n v="131.08000000000001"/>
    <x v="4"/>
  </r>
  <r>
    <s v="ORD-1170"/>
    <x v="133"/>
    <x v="35"/>
    <x v="34"/>
    <x v="2"/>
    <x v="3"/>
    <s v="CLO-02"/>
    <s v="Formal Shirt"/>
    <x v="3"/>
    <n v="1"/>
    <n v="647.78"/>
    <n v="0.05"/>
    <x v="169"/>
    <n v="180.69"/>
    <n v="66.930000000000007"/>
    <x v="1"/>
  </r>
  <r>
    <s v="ORD-1171"/>
    <x v="134"/>
    <x v="38"/>
    <x v="37"/>
    <x v="0"/>
    <x v="0"/>
    <s v="OFF-06"/>
    <s v="Whiteboard Marker"/>
    <x v="2"/>
    <n v="7"/>
    <n v="148.07"/>
    <n v="0"/>
    <x v="170"/>
    <n v="332.98"/>
    <n v="44.42"/>
    <x v="3"/>
  </r>
  <r>
    <s v="ORD-1172"/>
    <x v="111"/>
    <x v="39"/>
    <x v="38"/>
    <x v="2"/>
    <x v="1"/>
    <s v="ELE-05"/>
    <s v="Webcam HD"/>
    <x v="0"/>
    <n v="4"/>
    <n v="1149.42"/>
    <n v="0"/>
    <x v="171"/>
    <n v="1735.38"/>
    <n v="108.35"/>
    <x v="1"/>
  </r>
  <r>
    <s v="ORD-1173"/>
    <x v="18"/>
    <x v="19"/>
    <x v="19"/>
    <x v="2"/>
    <x v="0"/>
    <s v="FUR-03"/>
    <s v="Bookshelf"/>
    <x v="4"/>
    <n v="10"/>
    <n v="6824.8"/>
    <n v="0"/>
    <x v="172"/>
    <n v="17691.22"/>
    <n v="134.6"/>
    <x v="1"/>
  </r>
  <r>
    <s v="ORD-1174"/>
    <x v="123"/>
    <x v="39"/>
    <x v="38"/>
    <x v="2"/>
    <x v="1"/>
    <s v="CLO-05"/>
    <s v="Winter Jacket"/>
    <x v="3"/>
    <n v="1"/>
    <n v="498.11"/>
    <n v="0.05"/>
    <x v="173"/>
    <n v="136.30000000000001"/>
    <n v="242.34"/>
    <x v="3"/>
  </r>
  <r>
    <s v="ORD-1175"/>
    <x v="87"/>
    <x v="11"/>
    <x v="11"/>
    <x v="0"/>
    <x v="2"/>
    <s v="OFF-01"/>
    <s v="A4 Paper Ream"/>
    <x v="2"/>
    <n v="5"/>
    <n v="421.17"/>
    <n v="0.2"/>
    <x v="174"/>
    <n v="182.02"/>
    <n v="128.22999999999999"/>
    <x v="1"/>
  </r>
  <r>
    <s v="ORD-1176"/>
    <x v="135"/>
    <x v="4"/>
    <x v="4"/>
    <x v="0"/>
    <x v="1"/>
    <s v="ELE-07"/>
    <s v="Power Bank 20000mAh"/>
    <x v="0"/>
    <n v="5"/>
    <n v="3437.28"/>
    <n v="0.2"/>
    <x v="175"/>
    <n v="2563.98"/>
    <n v="30.41"/>
    <x v="0"/>
  </r>
  <r>
    <s v="ORD-1177"/>
    <x v="107"/>
    <x v="27"/>
    <x v="27"/>
    <x v="0"/>
    <x v="1"/>
    <s v="HOM-04"/>
    <s v="Dinner Set"/>
    <x v="1"/>
    <n v="9"/>
    <n v="1727.57"/>
    <n v="0.05"/>
    <x v="176"/>
    <n v="4259.1899999999996"/>
    <n v="195.81"/>
    <x v="2"/>
  </r>
  <r>
    <s v="ORD-1178"/>
    <x v="136"/>
    <x v="49"/>
    <x v="47"/>
    <x v="0"/>
    <x v="4"/>
    <s v="HOM-02"/>
    <s v="Electric Kettle"/>
    <x v="1"/>
    <n v="2"/>
    <n v="2211.96"/>
    <n v="0.2"/>
    <x v="177"/>
    <n v="14.62"/>
    <n v="148.30000000000001"/>
    <x v="2"/>
  </r>
  <r>
    <s v="ORD-1179"/>
    <x v="137"/>
    <x v="38"/>
    <x v="37"/>
    <x v="0"/>
    <x v="0"/>
    <s v="FUR-10"/>
    <s v="Coffee Table"/>
    <x v="4"/>
    <n v="7"/>
    <n v="5100.6099999999997"/>
    <n v="0"/>
    <x v="178"/>
    <n v="15719.57"/>
    <n v="184.13"/>
    <x v="4"/>
  </r>
  <r>
    <s v="ORD-1180"/>
    <x v="138"/>
    <x v="22"/>
    <x v="22"/>
    <x v="0"/>
    <x v="2"/>
    <s v="CLO-03"/>
    <s v="Denim Jeans"/>
    <x v="3"/>
    <n v="9"/>
    <n v="607.52"/>
    <n v="0.1"/>
    <x v="179"/>
    <n v="1478.28"/>
    <n v="110.38"/>
    <x v="1"/>
  </r>
  <r>
    <s v="ORD-1181"/>
    <x v="139"/>
    <x v="35"/>
    <x v="34"/>
    <x v="2"/>
    <x v="3"/>
    <s v="HOM-06"/>
    <s v="Vacuum Cleaner"/>
    <x v="1"/>
    <n v="9"/>
    <n v="2848.76"/>
    <n v="0.15"/>
    <x v="180"/>
    <n v="4083.47"/>
    <n v="129.22999999999999"/>
    <x v="0"/>
  </r>
  <r>
    <s v="ORD-1182"/>
    <x v="140"/>
    <x v="65"/>
    <x v="62"/>
    <x v="0"/>
    <x v="1"/>
    <s v="OFF-02"/>
    <s v="Stapler"/>
    <x v="2"/>
    <n v="10"/>
    <n v="280.76"/>
    <n v="0.15"/>
    <x v="181"/>
    <n v="230.15"/>
    <n v="164.73"/>
    <x v="1"/>
  </r>
  <r>
    <s v="ORD-1183"/>
    <x v="141"/>
    <x v="59"/>
    <x v="56"/>
    <x v="2"/>
    <x v="2"/>
    <s v="OFF-10"/>
    <s v="Notebook Pack"/>
    <x v="2"/>
    <n v="4"/>
    <n v="591.04999999999995"/>
    <n v="0.1"/>
    <x v="182"/>
    <n v="543.5"/>
    <n v="140.57"/>
    <x v="1"/>
  </r>
  <r>
    <s v="ORD-1184"/>
    <x v="142"/>
    <x v="37"/>
    <x v="36"/>
    <x v="0"/>
    <x v="4"/>
    <s v="FUR-04"/>
    <s v="Bean Bag"/>
    <x v="4"/>
    <n v="10"/>
    <n v="8596"/>
    <n v="0"/>
    <x v="183"/>
    <n v="34582.04"/>
    <n v="121.44"/>
    <x v="4"/>
  </r>
  <r>
    <s v="ORD-1185"/>
    <x v="109"/>
    <x v="6"/>
    <x v="6"/>
    <x v="1"/>
    <x v="0"/>
    <s v="CLO-04"/>
    <s v="Running Shoes"/>
    <x v="3"/>
    <n v="9"/>
    <n v="2004.94"/>
    <n v="0.05"/>
    <x v="184"/>
    <n v="3280.41"/>
    <n v="189.24"/>
    <x v="0"/>
  </r>
  <r>
    <s v="ORD-1186"/>
    <x v="126"/>
    <x v="21"/>
    <x v="21"/>
    <x v="2"/>
    <x v="0"/>
    <s v="HOM-04"/>
    <s v="Dinner Set"/>
    <x v="1"/>
    <n v="6"/>
    <n v="4991.37"/>
    <n v="0.05"/>
    <x v="185"/>
    <n v="8045.01"/>
    <n v="92.16"/>
    <x v="3"/>
  </r>
  <r>
    <s v="ORD-1187"/>
    <x v="143"/>
    <x v="48"/>
    <x v="46"/>
    <x v="0"/>
    <x v="1"/>
    <s v="HOM-06"/>
    <s v="Vacuum Cleaner"/>
    <x v="1"/>
    <n v="6"/>
    <n v="3509"/>
    <n v="0.2"/>
    <x v="186"/>
    <n v="1468.91"/>
    <n v="167.96"/>
    <x v="2"/>
  </r>
  <r>
    <s v="ORD-1188"/>
    <x v="33"/>
    <x v="54"/>
    <x v="52"/>
    <x v="0"/>
    <x v="3"/>
    <s v="CLO-04"/>
    <s v="Running Shoes"/>
    <x v="3"/>
    <n v="5"/>
    <n v="1527.79"/>
    <n v="0"/>
    <x v="187"/>
    <n v="1639.54"/>
    <n v="245.92"/>
    <x v="2"/>
  </r>
  <r>
    <s v="ORD-1189"/>
    <x v="144"/>
    <x v="3"/>
    <x v="3"/>
    <x v="0"/>
    <x v="2"/>
    <s v="CLO-06"/>
    <s v="Sports Cap"/>
    <x v="3"/>
    <n v="6"/>
    <n v="1533.07"/>
    <n v="0.2"/>
    <x v="188"/>
    <n v="640.07000000000005"/>
    <n v="86.19"/>
    <x v="1"/>
  </r>
  <r>
    <s v="ORD-1190"/>
    <x v="134"/>
    <x v="0"/>
    <x v="0"/>
    <x v="0"/>
    <x v="0"/>
    <s v="CLO-07"/>
    <s v="Leather Belt"/>
    <x v="3"/>
    <n v="3"/>
    <n v="939"/>
    <n v="0"/>
    <x v="189"/>
    <n v="594.87"/>
    <n v="38.18"/>
    <x v="4"/>
  </r>
  <r>
    <s v="ORD-1191"/>
    <x v="145"/>
    <x v="52"/>
    <x v="50"/>
    <x v="0"/>
    <x v="3"/>
    <s v="CLO-04"/>
    <s v="Running Shoes"/>
    <x v="3"/>
    <n v="9"/>
    <n v="896.49"/>
    <n v="0.1"/>
    <x v="190"/>
    <n v="1419.7"/>
    <n v="51.57"/>
    <x v="1"/>
  </r>
  <r>
    <s v="ORD-1192"/>
    <x v="87"/>
    <x v="58"/>
    <x v="38"/>
    <x v="0"/>
    <x v="2"/>
    <s v="FUR-04"/>
    <s v="Bean Bag"/>
    <x v="4"/>
    <n v="11"/>
    <n v="8260.44"/>
    <n v="0"/>
    <x v="191"/>
    <n v="26397.5"/>
    <n v="32.07"/>
    <x v="4"/>
  </r>
  <r>
    <s v="ORD-1193"/>
    <x v="146"/>
    <x v="66"/>
    <x v="63"/>
    <x v="0"/>
    <x v="0"/>
    <s v="CLO-02"/>
    <s v="Formal Shirt"/>
    <x v="3"/>
    <n v="3"/>
    <n v="311.39999999999998"/>
    <n v="0.1"/>
    <x v="192"/>
    <n v="98.58"/>
    <n v="56.33"/>
    <x v="4"/>
  </r>
  <r>
    <s v="ORD-1194"/>
    <x v="66"/>
    <x v="36"/>
    <x v="35"/>
    <x v="0"/>
    <x v="4"/>
    <s v="FUR-05"/>
    <s v="Filing Cabinet"/>
    <x v="4"/>
    <n v="5"/>
    <n v="6238"/>
    <n v="0.2"/>
    <x v="193"/>
    <n v="7099.93"/>
    <n v="152.05000000000001"/>
    <x v="1"/>
  </r>
  <r>
    <s v="ORD-1195"/>
    <x v="12"/>
    <x v="55"/>
    <x v="53"/>
    <x v="1"/>
    <x v="4"/>
    <s v="FUR-07"/>
    <s v="Sofa Cover"/>
    <x v="4"/>
    <n v="1"/>
    <n v="8977.94"/>
    <n v="0.05"/>
    <x v="194"/>
    <n v="1822.61"/>
    <n v="62.85"/>
    <x v="2"/>
  </r>
  <r>
    <s v="ORD-1196"/>
    <x v="147"/>
    <x v="55"/>
    <x v="53"/>
    <x v="1"/>
    <x v="4"/>
    <s v="ELE-05"/>
    <s v="Webcam HD"/>
    <x v="0"/>
    <n v="10"/>
    <n v="1018.47"/>
    <n v="0"/>
    <x v="195"/>
    <n v="3858.57"/>
    <n v="247.49"/>
    <x v="1"/>
  </r>
  <r>
    <s v="ORD-1197"/>
    <x v="148"/>
    <x v="71"/>
    <x v="68"/>
    <x v="0"/>
    <x v="3"/>
    <s v="CLO-03"/>
    <s v="Denim Jeans"/>
    <x v="3"/>
    <n v="8"/>
    <n v="900.24"/>
    <n v="0.2"/>
    <x v="196"/>
    <n v="1597.67"/>
    <n v="57.37"/>
    <x v="4"/>
  </r>
  <r>
    <s v="ORD-1198"/>
    <x v="149"/>
    <x v="52"/>
    <x v="50"/>
    <x v="0"/>
    <x v="3"/>
    <s v="FUR-01"/>
    <s v="Office Chair"/>
    <x v="4"/>
    <n v="5"/>
    <n v="5628.69"/>
    <n v="0.2"/>
    <x v="197"/>
    <n v="5676.81"/>
    <n v="160.52000000000001"/>
    <x v="4"/>
  </r>
  <r>
    <s v="ORD-1199"/>
    <x v="150"/>
    <x v="20"/>
    <x v="20"/>
    <x v="2"/>
    <x v="1"/>
    <s v="HOM-06"/>
    <s v="Vacuum Cleaner"/>
    <x v="1"/>
    <n v="7"/>
    <n v="3478.58"/>
    <n v="0"/>
    <x v="198"/>
    <n v="4981.5"/>
    <n v="129.81"/>
    <x v="3"/>
  </r>
  <r>
    <s v="ORD-1200"/>
    <x v="151"/>
    <x v="72"/>
    <x v="69"/>
    <x v="0"/>
    <x v="0"/>
    <s v="OFF-07"/>
    <s v="Desk Organizer"/>
    <x v="2"/>
    <n v="8"/>
    <n v="615.32000000000005"/>
    <n v="0"/>
    <x v="199"/>
    <n v="1843.57"/>
    <n v="186.26"/>
    <x v="0"/>
  </r>
  <r>
    <s v="ORD-1201"/>
    <x v="27"/>
    <x v="8"/>
    <x v="8"/>
    <x v="1"/>
    <x v="2"/>
    <s v="OFF-04"/>
    <s v="Ball Pen Box"/>
    <x v="2"/>
    <n v="11"/>
    <n v="138.66999999999999"/>
    <n v="0"/>
    <x v="200"/>
    <n v="625.51"/>
    <n v="177.8"/>
    <x v="2"/>
  </r>
  <r>
    <s v="ORD-1202"/>
    <x v="117"/>
    <x v="29"/>
    <x v="28"/>
    <x v="0"/>
    <x v="3"/>
    <s v="OFF-06"/>
    <s v="Whiteboard Marker"/>
    <x v="2"/>
    <n v="4"/>
    <n v="214.35"/>
    <n v="0"/>
    <x v="201"/>
    <n v="283.33"/>
    <n v="124.65"/>
    <x v="1"/>
  </r>
  <r>
    <s v="ORD-1203"/>
    <x v="152"/>
    <x v="65"/>
    <x v="62"/>
    <x v="0"/>
    <x v="1"/>
    <s v="CLO-09"/>
    <s v="Track Pants"/>
    <x v="3"/>
    <n v="9"/>
    <n v="2064.39"/>
    <n v="0.2"/>
    <x v="202"/>
    <n v="3630.38"/>
    <n v="76.92"/>
    <x v="1"/>
  </r>
  <r>
    <s v="ORD-1204"/>
    <x v="153"/>
    <x v="17"/>
    <x v="17"/>
    <x v="2"/>
    <x v="0"/>
    <s v="HOM-08"/>
    <s v="Storage Containers"/>
    <x v="1"/>
    <n v="12"/>
    <n v="2064.21"/>
    <n v="0.1"/>
    <x v="203"/>
    <n v="7974.82"/>
    <n v="210.62"/>
    <x v="1"/>
  </r>
  <r>
    <s v="ORD-1205"/>
    <x v="154"/>
    <x v="13"/>
    <x v="13"/>
    <x v="0"/>
    <x v="4"/>
    <s v="HOM-09"/>
    <s v="Bedsheet Set"/>
    <x v="1"/>
    <n v="3"/>
    <n v="1909.34"/>
    <n v="0.1"/>
    <x v="204"/>
    <n v="1372.09"/>
    <n v="176.47"/>
    <x v="1"/>
  </r>
  <r>
    <s v="ORD-1206"/>
    <x v="155"/>
    <x v="7"/>
    <x v="7"/>
    <x v="0"/>
    <x v="2"/>
    <s v="ELE-09"/>
    <s v="Mechanical Keyboard"/>
    <x v="0"/>
    <n v="1"/>
    <n v="2368.39"/>
    <n v="0.1"/>
    <x v="205"/>
    <n v="582.96"/>
    <n v="149.69999999999999"/>
    <x v="1"/>
  </r>
  <r>
    <s v="ORD-1207"/>
    <x v="81"/>
    <x v="39"/>
    <x v="38"/>
    <x v="2"/>
    <x v="1"/>
    <s v="OFF-01"/>
    <s v="A4 Paper Ream"/>
    <x v="2"/>
    <n v="5"/>
    <n v="662.34"/>
    <n v="0.15"/>
    <x v="206"/>
    <n v="813.11"/>
    <n v="36.799999999999997"/>
    <x v="4"/>
  </r>
  <r>
    <s v="ORD-1208"/>
    <x v="156"/>
    <x v="10"/>
    <x v="10"/>
    <x v="1"/>
    <x v="0"/>
    <s v="ELE-09"/>
    <s v="Mechanical Keyboard"/>
    <x v="0"/>
    <n v="2"/>
    <n v="4445.9399999999996"/>
    <n v="0.05"/>
    <x v="207"/>
    <n v="3486.21"/>
    <n v="114.04"/>
    <x v="3"/>
  </r>
  <r>
    <s v="ORD-1209"/>
    <x v="157"/>
    <x v="19"/>
    <x v="19"/>
    <x v="2"/>
    <x v="0"/>
    <s v="OFF-07"/>
    <s v="Desk Organizer"/>
    <x v="2"/>
    <n v="7"/>
    <n v="331.73"/>
    <n v="0.15"/>
    <x v="208"/>
    <n v="136.91999999999999"/>
    <n v="221.15"/>
    <x v="3"/>
  </r>
  <r>
    <s v="ORD-1210"/>
    <x v="39"/>
    <x v="10"/>
    <x v="10"/>
    <x v="1"/>
    <x v="0"/>
    <s v="ELE-03"/>
    <s v="USB-C Charger"/>
    <x v="0"/>
    <n v="7"/>
    <n v="2662.49"/>
    <n v="0.15"/>
    <x v="209"/>
    <n v="1031.01"/>
    <n v="212.01"/>
    <x v="0"/>
  </r>
  <r>
    <s v="ORD-1211"/>
    <x v="44"/>
    <x v="35"/>
    <x v="34"/>
    <x v="2"/>
    <x v="3"/>
    <s v="CLO-09"/>
    <s v="Track Pants"/>
    <x v="3"/>
    <n v="9"/>
    <n v="1134.4100000000001"/>
    <n v="0"/>
    <x v="210"/>
    <n v="3962.61"/>
    <n v="99.62"/>
    <x v="2"/>
  </r>
  <r>
    <s v="ORD-1212"/>
    <x v="52"/>
    <x v="64"/>
    <x v="61"/>
    <x v="2"/>
    <x v="2"/>
    <s v="ELE-01"/>
    <s v="Wireless Mouse"/>
    <x v="0"/>
    <n v="7"/>
    <n v="2998.2"/>
    <n v="0"/>
    <x v="211"/>
    <n v="8181.59"/>
    <n v="35.479999999999997"/>
    <x v="1"/>
  </r>
  <r>
    <s v="ORD-1213"/>
    <x v="158"/>
    <x v="55"/>
    <x v="53"/>
    <x v="1"/>
    <x v="4"/>
    <s v="CLO-10"/>
    <s v="Woolen Sweater"/>
    <x v="3"/>
    <n v="12"/>
    <n v="2218.87"/>
    <n v="0"/>
    <x v="212"/>
    <n v="7052.4"/>
    <n v="112.52"/>
    <x v="3"/>
  </r>
  <r>
    <s v="ORD-1214"/>
    <x v="159"/>
    <x v="0"/>
    <x v="0"/>
    <x v="0"/>
    <x v="0"/>
    <s v="FUR-01"/>
    <s v="Office Chair"/>
    <x v="4"/>
    <n v="9"/>
    <n v="8949.17"/>
    <n v="0"/>
    <x v="213"/>
    <n v="19817.77"/>
    <n v="188.25"/>
    <x v="2"/>
  </r>
  <r>
    <s v="ORD-1215"/>
    <x v="160"/>
    <x v="23"/>
    <x v="23"/>
    <x v="0"/>
    <x v="2"/>
    <s v="HOM-06"/>
    <s v="Vacuum Cleaner"/>
    <x v="1"/>
    <n v="5"/>
    <n v="4430.79"/>
    <n v="0.15"/>
    <x v="214"/>
    <n v="3759.25"/>
    <n v="115.12"/>
    <x v="2"/>
  </r>
  <r>
    <s v="ORD-1216"/>
    <x v="57"/>
    <x v="73"/>
    <x v="70"/>
    <x v="0"/>
    <x v="2"/>
    <s v="HOM-10"/>
    <s v="Table Lamp"/>
    <x v="1"/>
    <n v="11"/>
    <n v="3522.25"/>
    <n v="0.1"/>
    <x v="215"/>
    <n v="8759.99"/>
    <n v="243.63"/>
    <x v="4"/>
  </r>
  <r>
    <s v="ORD-1217"/>
    <x v="69"/>
    <x v="71"/>
    <x v="68"/>
    <x v="0"/>
    <x v="3"/>
    <s v="OFF-07"/>
    <s v="Desk Organizer"/>
    <x v="2"/>
    <n v="3"/>
    <n v="274.92"/>
    <n v="0"/>
    <x v="216"/>
    <n v="215.59"/>
    <n v="128.91"/>
    <x v="3"/>
  </r>
  <r>
    <s v="ORD-1218"/>
    <x v="0"/>
    <x v="35"/>
    <x v="34"/>
    <x v="2"/>
    <x v="3"/>
    <s v="FUR-08"/>
    <s v="Bed Frame"/>
    <x v="4"/>
    <n v="9"/>
    <n v="4418.88"/>
    <n v="0.05"/>
    <x v="217"/>
    <n v="10367.15"/>
    <n v="50.84"/>
    <x v="3"/>
  </r>
  <r>
    <s v="ORD-1219"/>
    <x v="161"/>
    <x v="52"/>
    <x v="50"/>
    <x v="0"/>
    <x v="3"/>
    <s v="FUR-06"/>
    <s v="Standing Desk"/>
    <x v="4"/>
    <n v="2"/>
    <n v="8393.36"/>
    <n v="0.2"/>
    <x v="218"/>
    <n v="2639.39"/>
    <n v="143.19999999999999"/>
    <x v="3"/>
  </r>
  <r>
    <s v="ORD-1220"/>
    <x v="158"/>
    <x v="51"/>
    <x v="49"/>
    <x v="2"/>
    <x v="4"/>
    <s v="OFF-07"/>
    <s v="Desk Organizer"/>
    <x v="2"/>
    <n v="10"/>
    <n v="502.19"/>
    <n v="0.2"/>
    <x v="219"/>
    <n v="1164.0999999999999"/>
    <n v="205.07"/>
    <x v="1"/>
  </r>
  <r>
    <s v="ORD-1221"/>
    <x v="162"/>
    <x v="53"/>
    <x v="51"/>
    <x v="0"/>
    <x v="1"/>
    <s v="FUR-08"/>
    <s v="Bed Frame"/>
    <x v="4"/>
    <n v="6"/>
    <n v="3564.87"/>
    <n v="0"/>
    <x v="220"/>
    <n v="8492.5499999999993"/>
    <n v="63.71"/>
    <x v="0"/>
  </r>
  <r>
    <s v="ORD-1222"/>
    <x v="163"/>
    <x v="36"/>
    <x v="35"/>
    <x v="0"/>
    <x v="4"/>
    <s v="FUR-10"/>
    <s v="Coffee Table"/>
    <x v="4"/>
    <n v="4"/>
    <n v="4293.7299999999996"/>
    <n v="0"/>
    <x v="221"/>
    <n v="5358.23"/>
    <n v="198.37"/>
    <x v="4"/>
  </r>
  <r>
    <s v="ORD-1223"/>
    <x v="164"/>
    <x v="39"/>
    <x v="38"/>
    <x v="2"/>
    <x v="1"/>
    <s v="HOM-06"/>
    <s v="Vacuum Cleaner"/>
    <x v="1"/>
    <n v="5"/>
    <n v="2054.37"/>
    <n v="0.05"/>
    <x v="222"/>
    <n v="2912.06"/>
    <n v="204.65"/>
    <x v="4"/>
  </r>
  <r>
    <s v="ORD-1224"/>
    <x v="165"/>
    <x v="63"/>
    <x v="60"/>
    <x v="1"/>
    <x v="1"/>
    <s v="FUR-06"/>
    <s v="Standing Desk"/>
    <x v="4"/>
    <n v="7"/>
    <n v="1556.58"/>
    <n v="0.2"/>
    <x v="223"/>
    <n v="2121.2600000000002"/>
    <n v="53.56"/>
    <x v="2"/>
  </r>
  <r>
    <s v="ORD-1225"/>
    <x v="140"/>
    <x v="33"/>
    <x v="32"/>
    <x v="0"/>
    <x v="2"/>
    <s v="HOM-10"/>
    <s v="Table Lamp"/>
    <x v="1"/>
    <n v="5"/>
    <n v="1101.0899999999999"/>
    <n v="0"/>
    <x v="224"/>
    <n v="2160.86"/>
    <n v="151.05000000000001"/>
    <x v="3"/>
  </r>
  <r>
    <s v="ORD-1226"/>
    <x v="166"/>
    <x v="47"/>
    <x v="45"/>
    <x v="0"/>
    <x v="1"/>
    <s v="HOM-06"/>
    <s v="Vacuum Cleaner"/>
    <x v="1"/>
    <n v="8"/>
    <n v="4845.9399999999996"/>
    <n v="0.15"/>
    <x v="225"/>
    <n v="4462.2"/>
    <n v="125.99"/>
    <x v="2"/>
  </r>
  <r>
    <s v="ORD-1227"/>
    <x v="167"/>
    <x v="25"/>
    <x v="25"/>
    <x v="0"/>
    <x v="2"/>
    <s v="FUR-09"/>
    <s v="Wardrobe"/>
    <x v="4"/>
    <n v="3"/>
    <n v="8351.82"/>
    <n v="0.1"/>
    <x v="226"/>
    <n v="2566.15"/>
    <n v="240.16"/>
    <x v="1"/>
  </r>
  <r>
    <s v="ORD-1228"/>
    <x v="28"/>
    <x v="55"/>
    <x v="53"/>
    <x v="1"/>
    <x v="4"/>
    <s v="ELE-01"/>
    <s v="Wireless Mouse"/>
    <x v="0"/>
    <n v="7"/>
    <n v="1136.22"/>
    <n v="0.15"/>
    <x v="227"/>
    <n v="1925.88"/>
    <n v="182.65"/>
    <x v="0"/>
  </r>
  <r>
    <s v="ORD-1229"/>
    <x v="92"/>
    <x v="56"/>
    <x v="54"/>
    <x v="0"/>
    <x v="0"/>
    <s v="HOM-08"/>
    <s v="Storage Containers"/>
    <x v="1"/>
    <n v="1"/>
    <n v="3242.04"/>
    <n v="0.15"/>
    <x v="228"/>
    <n v="215.67"/>
    <n v="229.93"/>
    <x v="4"/>
  </r>
  <r>
    <s v="ORD-1230"/>
    <x v="9"/>
    <x v="74"/>
    <x v="65"/>
    <x v="0"/>
    <x v="4"/>
    <s v="ELE-09"/>
    <s v="Mechanical Keyboard"/>
    <x v="0"/>
    <n v="7"/>
    <n v="646.22"/>
    <n v="0.1"/>
    <x v="229"/>
    <n v="766.53"/>
    <n v="143.22"/>
    <x v="2"/>
  </r>
  <r>
    <s v="ORD-1231"/>
    <x v="168"/>
    <x v="74"/>
    <x v="65"/>
    <x v="0"/>
    <x v="4"/>
    <s v="HOM-07"/>
    <s v="Air Fryer"/>
    <x v="1"/>
    <n v="2"/>
    <n v="4623.0200000000004"/>
    <n v="0.1"/>
    <x v="230"/>
    <n v="2891.94"/>
    <n v="64.14"/>
    <x v="1"/>
  </r>
  <r>
    <s v="ORD-1232"/>
    <x v="86"/>
    <x v="52"/>
    <x v="50"/>
    <x v="0"/>
    <x v="3"/>
    <s v="OFF-05"/>
    <s v="File Folder"/>
    <x v="2"/>
    <n v="2"/>
    <n v="329.79"/>
    <n v="0.05"/>
    <x v="231"/>
    <n v="188.14"/>
    <n v="75.94"/>
    <x v="3"/>
  </r>
  <r>
    <s v="ORD-1233"/>
    <x v="8"/>
    <x v="35"/>
    <x v="34"/>
    <x v="2"/>
    <x v="3"/>
    <s v="ELE-01"/>
    <s v="Wireless Mouse"/>
    <x v="0"/>
    <n v="7"/>
    <n v="2079.13"/>
    <n v="0.1"/>
    <x v="232"/>
    <n v="3361.94"/>
    <n v="166.45"/>
    <x v="3"/>
  </r>
  <r>
    <s v="ORD-1234"/>
    <x v="169"/>
    <x v="17"/>
    <x v="17"/>
    <x v="2"/>
    <x v="0"/>
    <s v="CLO-07"/>
    <s v="Leather Belt"/>
    <x v="3"/>
    <n v="6"/>
    <n v="1544.88"/>
    <n v="0.2"/>
    <x v="233"/>
    <n v="60.62"/>
    <n v="225.8"/>
    <x v="0"/>
  </r>
  <r>
    <s v="ORD-1235"/>
    <x v="106"/>
    <x v="34"/>
    <x v="33"/>
    <x v="1"/>
    <x v="4"/>
    <s v="FUR-10"/>
    <s v="Coffee Table"/>
    <x v="4"/>
    <n v="5"/>
    <n v="1563.18"/>
    <n v="0"/>
    <x v="234"/>
    <n v="2179.8000000000002"/>
    <n v="84.49"/>
    <x v="1"/>
  </r>
  <r>
    <s v="ORD-1236"/>
    <x v="45"/>
    <x v="27"/>
    <x v="27"/>
    <x v="0"/>
    <x v="1"/>
    <s v="ELE-03"/>
    <s v="USB-C Charger"/>
    <x v="0"/>
    <n v="1"/>
    <n v="4349.7299999999996"/>
    <n v="0.1"/>
    <x v="235"/>
    <n v="1365.61"/>
    <n v="208.76"/>
    <x v="4"/>
  </r>
  <r>
    <s v="ORD-1237"/>
    <x v="4"/>
    <x v="60"/>
    <x v="57"/>
    <x v="0"/>
    <x v="1"/>
    <s v="OFF-03"/>
    <s v="Sticky Notes Pack"/>
    <x v="2"/>
    <n v="4"/>
    <n v="475.02"/>
    <n v="0.2"/>
    <x v="236"/>
    <n v="290.16000000000003"/>
    <n v="226.2"/>
    <x v="2"/>
  </r>
  <r>
    <s v="ORD-1238"/>
    <x v="99"/>
    <x v="70"/>
    <x v="67"/>
    <x v="0"/>
    <x v="2"/>
    <s v="FUR-02"/>
    <s v="Study Table"/>
    <x v="4"/>
    <n v="12"/>
    <n v="8799.7199999999993"/>
    <n v="0"/>
    <x v="237"/>
    <n v="44939.67"/>
    <n v="73.39"/>
    <x v="0"/>
  </r>
  <r>
    <s v="ORD-1239"/>
    <x v="170"/>
    <x v="75"/>
    <x v="71"/>
    <x v="1"/>
    <x v="4"/>
    <s v="HOM-10"/>
    <s v="Table Lamp"/>
    <x v="1"/>
    <n v="7"/>
    <n v="4857.03"/>
    <n v="0"/>
    <x v="238"/>
    <n v="15047.83"/>
    <n v="82.87"/>
    <x v="4"/>
  </r>
  <r>
    <s v="ORD-1240"/>
    <x v="171"/>
    <x v="7"/>
    <x v="7"/>
    <x v="0"/>
    <x v="2"/>
    <s v="FUR-06"/>
    <s v="Standing Desk"/>
    <x v="4"/>
    <n v="7"/>
    <n v="4568.41"/>
    <n v="0.15"/>
    <x v="239"/>
    <n v="4909.76"/>
    <n v="107.42"/>
    <x v="1"/>
  </r>
  <r>
    <s v="ORD-1241"/>
    <x v="172"/>
    <x v="68"/>
    <x v="65"/>
    <x v="2"/>
    <x v="0"/>
    <s v="FUR-02"/>
    <s v="Study Table"/>
    <x v="4"/>
    <n v="5"/>
    <n v="2402.92"/>
    <n v="0.15"/>
    <x v="240"/>
    <n v="1249.8499999999999"/>
    <n v="55.48"/>
    <x v="4"/>
  </r>
  <r>
    <s v="ORD-1242"/>
    <x v="173"/>
    <x v="63"/>
    <x v="60"/>
    <x v="1"/>
    <x v="1"/>
    <s v="OFF-02"/>
    <s v="Stapler"/>
    <x v="2"/>
    <n v="1"/>
    <n v="757.22"/>
    <n v="0.05"/>
    <x v="241"/>
    <n v="234.75"/>
    <n v="82.05"/>
    <x v="3"/>
  </r>
  <r>
    <s v="ORD-1243"/>
    <x v="157"/>
    <x v="30"/>
    <x v="29"/>
    <x v="0"/>
    <x v="2"/>
    <s v="FUR-07"/>
    <s v="Sofa Cover"/>
    <x v="4"/>
    <n v="9"/>
    <n v="5526.97"/>
    <n v="0.05"/>
    <x v="242"/>
    <n v="18612.57"/>
    <n v="40.61"/>
    <x v="1"/>
  </r>
  <r>
    <s v="ORD-1244"/>
    <x v="101"/>
    <x v="30"/>
    <x v="29"/>
    <x v="0"/>
    <x v="2"/>
    <s v="HOM-10"/>
    <s v="Table Lamp"/>
    <x v="1"/>
    <n v="7"/>
    <n v="456.77"/>
    <n v="0.05"/>
    <x v="243"/>
    <n v="968.97"/>
    <n v="39.479999999999997"/>
    <x v="1"/>
  </r>
  <r>
    <s v="ORD-1245"/>
    <x v="174"/>
    <x v="2"/>
    <x v="2"/>
    <x v="1"/>
    <x v="2"/>
    <s v="HOM-09"/>
    <s v="Bedsheet Set"/>
    <x v="1"/>
    <n v="11"/>
    <n v="2151.37"/>
    <n v="0"/>
    <x v="244"/>
    <n v="9058.2800000000007"/>
    <n v="81.73"/>
    <x v="3"/>
  </r>
  <r>
    <s v="ORD-1246"/>
    <x v="64"/>
    <x v="5"/>
    <x v="5"/>
    <x v="0"/>
    <x v="3"/>
    <s v="FUR-07"/>
    <s v="Sofa Cover"/>
    <x v="4"/>
    <n v="7"/>
    <n v="3538.07"/>
    <n v="0.2"/>
    <x v="245"/>
    <n v="5715.35"/>
    <n v="77.89"/>
    <x v="3"/>
  </r>
  <r>
    <s v="ORD-1247"/>
    <x v="131"/>
    <x v="47"/>
    <x v="45"/>
    <x v="0"/>
    <x v="1"/>
    <s v="HOM-10"/>
    <s v="Table Lamp"/>
    <x v="1"/>
    <n v="8"/>
    <n v="892.07"/>
    <n v="0"/>
    <x v="246"/>
    <n v="3199.38"/>
    <n v="111.01"/>
    <x v="1"/>
  </r>
  <r>
    <s v="ORD-1248"/>
    <x v="175"/>
    <x v="37"/>
    <x v="36"/>
    <x v="0"/>
    <x v="4"/>
    <s v="OFF-08"/>
    <s v="Printer Ink Cartridge"/>
    <x v="2"/>
    <n v="7"/>
    <n v="661.61"/>
    <n v="0.2"/>
    <x v="247"/>
    <n v="404.04"/>
    <n v="156.71"/>
    <x v="2"/>
  </r>
  <r>
    <s v="ORD-1249"/>
    <x v="144"/>
    <x v="40"/>
    <x v="39"/>
    <x v="1"/>
    <x v="4"/>
    <s v="HOM-04"/>
    <s v="Dinner Set"/>
    <x v="1"/>
    <n v="6"/>
    <n v="1217.1300000000001"/>
    <n v="0.05"/>
    <x v="248"/>
    <n v="1152.51"/>
    <n v="87.03"/>
    <x v="4"/>
  </r>
  <r>
    <s v="ORD-1250"/>
    <x v="96"/>
    <x v="23"/>
    <x v="23"/>
    <x v="0"/>
    <x v="2"/>
    <s v="FUR-06"/>
    <s v="Standing Desk"/>
    <x v="4"/>
    <n v="5"/>
    <n v="7568.66"/>
    <n v="0.05"/>
    <x v="249"/>
    <n v="11683.98"/>
    <n v="234.38"/>
    <x v="3"/>
  </r>
  <r>
    <s v="ORD-1251"/>
    <x v="176"/>
    <x v="58"/>
    <x v="38"/>
    <x v="0"/>
    <x v="2"/>
    <s v="HOM-03"/>
    <s v="Mixer Grinder"/>
    <x v="1"/>
    <n v="9"/>
    <n v="523.80999999999995"/>
    <n v="0.15"/>
    <x v="250"/>
    <n v="870.24"/>
    <n v="182.92"/>
    <x v="4"/>
  </r>
  <r>
    <s v="ORD-1252"/>
    <x v="158"/>
    <x v="68"/>
    <x v="65"/>
    <x v="2"/>
    <x v="0"/>
    <s v="ELE-07"/>
    <s v="Power Bank 20000mAh"/>
    <x v="0"/>
    <n v="8"/>
    <n v="1142.8"/>
    <n v="0"/>
    <x v="251"/>
    <n v="3560.92"/>
    <n v="171.49"/>
    <x v="4"/>
  </r>
  <r>
    <s v="ORD-1253"/>
    <x v="177"/>
    <x v="37"/>
    <x v="36"/>
    <x v="0"/>
    <x v="4"/>
    <s v="ELE-08"/>
    <s v="Smartwatch"/>
    <x v="0"/>
    <n v="8"/>
    <n v="2870.75"/>
    <n v="0.1"/>
    <x v="252"/>
    <n v="5129.38"/>
    <n v="231.69"/>
    <x v="4"/>
  </r>
  <r>
    <s v="ORD-1254"/>
    <x v="13"/>
    <x v="0"/>
    <x v="0"/>
    <x v="0"/>
    <x v="0"/>
    <s v="ELE-06"/>
    <s v="Noise Cancelling Headphones"/>
    <x v="0"/>
    <n v="9"/>
    <n v="2915.9"/>
    <n v="0"/>
    <x v="253"/>
    <n v="11091.85"/>
    <n v="77.09"/>
    <x v="2"/>
  </r>
  <r>
    <s v="ORD-1255"/>
    <x v="4"/>
    <x v="25"/>
    <x v="25"/>
    <x v="0"/>
    <x v="2"/>
    <s v="HOM-01"/>
    <s v="Non-stick Pan"/>
    <x v="1"/>
    <n v="11"/>
    <n v="3516.37"/>
    <n v="0.05"/>
    <x v="254"/>
    <n v="6122.95"/>
    <n v="96.27"/>
    <x v="4"/>
  </r>
  <r>
    <s v="ORD-1256"/>
    <x v="178"/>
    <x v="76"/>
    <x v="72"/>
    <x v="1"/>
    <x v="4"/>
    <s v="ELE-02"/>
    <s v="Bluetooth Speaker"/>
    <x v="0"/>
    <n v="4"/>
    <n v="2591.64"/>
    <n v="0.1"/>
    <x v="255"/>
    <n v="2182.17"/>
    <n v="178.16"/>
    <x v="3"/>
  </r>
  <r>
    <s v="ORD-1257"/>
    <x v="179"/>
    <x v="32"/>
    <x v="31"/>
    <x v="0"/>
    <x v="1"/>
    <s v="OFF-07"/>
    <s v="Desk Organizer"/>
    <x v="2"/>
    <n v="11"/>
    <n v="491.44"/>
    <n v="0.1"/>
    <x v="256"/>
    <n v="1688.32"/>
    <n v="249.47"/>
    <x v="4"/>
  </r>
  <r>
    <s v="ORD-1258"/>
    <x v="180"/>
    <x v="76"/>
    <x v="72"/>
    <x v="1"/>
    <x v="4"/>
    <s v="OFF-07"/>
    <s v="Desk Organizer"/>
    <x v="2"/>
    <n v="2"/>
    <n v="673.49"/>
    <n v="0.15"/>
    <x v="257"/>
    <n v="356.38"/>
    <n v="91.73"/>
    <x v="4"/>
  </r>
  <r>
    <s v="ORD-1259"/>
    <x v="181"/>
    <x v="3"/>
    <x v="3"/>
    <x v="0"/>
    <x v="2"/>
    <s v="HOM-08"/>
    <s v="Storage Containers"/>
    <x v="1"/>
    <n v="8"/>
    <n v="849.07"/>
    <n v="0.15"/>
    <x v="258"/>
    <n v="854.57"/>
    <n v="93.35"/>
    <x v="2"/>
  </r>
  <r>
    <s v="ORD-1260"/>
    <x v="182"/>
    <x v="46"/>
    <x v="44"/>
    <x v="0"/>
    <x v="4"/>
    <s v="ELE-01"/>
    <s v="Wireless Mouse"/>
    <x v="0"/>
    <n v="11"/>
    <n v="1026.51"/>
    <n v="0.2"/>
    <x v="259"/>
    <n v="2358.9499999999998"/>
    <n v="246.3"/>
    <x v="3"/>
  </r>
  <r>
    <s v="ORD-1261"/>
    <x v="24"/>
    <x v="22"/>
    <x v="22"/>
    <x v="0"/>
    <x v="2"/>
    <s v="FUR-09"/>
    <s v="Wardrobe"/>
    <x v="4"/>
    <n v="6"/>
    <n v="5566.82"/>
    <n v="0.05"/>
    <x v="260"/>
    <n v="11424.32"/>
    <n v="113.16"/>
    <x v="3"/>
  </r>
  <r>
    <s v="ORD-1262"/>
    <x v="61"/>
    <x v="31"/>
    <x v="30"/>
    <x v="0"/>
    <x v="3"/>
    <s v="CLO-07"/>
    <s v="Leather Belt"/>
    <x v="3"/>
    <n v="12"/>
    <n v="1651.04"/>
    <n v="0"/>
    <x v="261"/>
    <n v="6688.82"/>
    <n v="118.8"/>
    <x v="0"/>
  </r>
  <r>
    <s v="ORD-1263"/>
    <x v="163"/>
    <x v="56"/>
    <x v="54"/>
    <x v="0"/>
    <x v="0"/>
    <s v="FUR-05"/>
    <s v="Filing Cabinet"/>
    <x v="4"/>
    <n v="2"/>
    <n v="5703.31"/>
    <n v="0.2"/>
    <x v="262"/>
    <n v="365.07"/>
    <n v="63"/>
    <x v="2"/>
  </r>
  <r>
    <s v="ORD-1264"/>
    <x v="183"/>
    <x v="13"/>
    <x v="13"/>
    <x v="0"/>
    <x v="4"/>
    <s v="CLO-02"/>
    <s v="Formal Shirt"/>
    <x v="3"/>
    <n v="11"/>
    <n v="2197.8000000000002"/>
    <n v="0.1"/>
    <x v="263"/>
    <n v="2623.58"/>
    <n v="92.08"/>
    <x v="4"/>
  </r>
  <r>
    <s v="ORD-1265"/>
    <x v="184"/>
    <x v="54"/>
    <x v="52"/>
    <x v="0"/>
    <x v="3"/>
    <s v="CLO-10"/>
    <s v="Woolen Sweater"/>
    <x v="3"/>
    <n v="6"/>
    <n v="1074.3699999999999"/>
    <n v="0.05"/>
    <x v="264"/>
    <n v="1583.58"/>
    <n v="207.16"/>
    <x v="2"/>
  </r>
  <r>
    <s v="ORD-1266"/>
    <x v="158"/>
    <x v="54"/>
    <x v="52"/>
    <x v="0"/>
    <x v="3"/>
    <s v="HOM-02"/>
    <s v="Electric Kettle"/>
    <x v="1"/>
    <n v="3"/>
    <n v="1840.65"/>
    <n v="0"/>
    <x v="265"/>
    <n v="2063.3000000000002"/>
    <n v="62.1"/>
    <x v="3"/>
  </r>
  <r>
    <s v="ORD-1267"/>
    <x v="46"/>
    <x v="1"/>
    <x v="1"/>
    <x v="1"/>
    <x v="1"/>
    <s v="CLO-07"/>
    <s v="Leather Belt"/>
    <x v="3"/>
    <n v="3"/>
    <n v="1564.57"/>
    <n v="0.05"/>
    <x v="266"/>
    <n v="1659.51"/>
    <n v="166.17"/>
    <x v="3"/>
  </r>
  <r>
    <s v="ORD-1268"/>
    <x v="94"/>
    <x v="53"/>
    <x v="51"/>
    <x v="0"/>
    <x v="1"/>
    <s v="FUR-08"/>
    <s v="Bed Frame"/>
    <x v="4"/>
    <n v="3"/>
    <n v="2659.37"/>
    <n v="0.2"/>
    <x v="267"/>
    <n v="1095"/>
    <n v="32.33"/>
    <x v="2"/>
  </r>
  <r>
    <s v="ORD-1269"/>
    <x v="185"/>
    <x v="4"/>
    <x v="4"/>
    <x v="0"/>
    <x v="1"/>
    <s v="CLO-03"/>
    <s v="Denim Jeans"/>
    <x v="3"/>
    <n v="7"/>
    <n v="2420.42"/>
    <n v="0.1"/>
    <x v="268"/>
    <n v="3163.8"/>
    <n v="114.1"/>
    <x v="4"/>
  </r>
  <r>
    <s v="ORD-1270"/>
    <x v="71"/>
    <x v="19"/>
    <x v="19"/>
    <x v="2"/>
    <x v="0"/>
    <s v="CLO-08"/>
    <s v="Casual Sneakers"/>
    <x v="3"/>
    <n v="2"/>
    <n v="1543.88"/>
    <n v="0.2"/>
    <x v="269"/>
    <n v="184.45"/>
    <n v="87.18"/>
    <x v="2"/>
  </r>
  <r>
    <s v="ORD-1271"/>
    <x v="174"/>
    <x v="18"/>
    <x v="18"/>
    <x v="1"/>
    <x v="4"/>
    <s v="HOM-05"/>
    <s v="Water Bottle"/>
    <x v="1"/>
    <n v="8"/>
    <n v="3001.99"/>
    <n v="0.2"/>
    <x v="270"/>
    <n v="1405.42"/>
    <n v="146.44"/>
    <x v="0"/>
  </r>
  <r>
    <s v="ORD-1272"/>
    <x v="118"/>
    <x v="23"/>
    <x v="23"/>
    <x v="0"/>
    <x v="2"/>
    <s v="ELE-05"/>
    <s v="Webcam HD"/>
    <x v="0"/>
    <n v="6"/>
    <n v="2713.97"/>
    <n v="0.2"/>
    <x v="271"/>
    <n v="3901.56"/>
    <n v="185.37"/>
    <x v="1"/>
  </r>
  <r>
    <s v="ORD-1273"/>
    <x v="186"/>
    <x v="56"/>
    <x v="54"/>
    <x v="0"/>
    <x v="0"/>
    <s v="CLO-02"/>
    <s v="Formal Shirt"/>
    <x v="3"/>
    <n v="4"/>
    <n v="954.96"/>
    <n v="0"/>
    <x v="272"/>
    <n v="1289.45"/>
    <n v="100.17"/>
    <x v="0"/>
  </r>
  <r>
    <s v="ORD-1274"/>
    <x v="187"/>
    <x v="45"/>
    <x v="43"/>
    <x v="1"/>
    <x v="3"/>
    <s v="ELE-04"/>
    <s v="Laptop Stand"/>
    <x v="0"/>
    <n v="12"/>
    <n v="2892.9"/>
    <n v="0"/>
    <x v="273"/>
    <n v="8148.88"/>
    <n v="160.36000000000001"/>
    <x v="4"/>
  </r>
  <r>
    <s v="ORD-1275"/>
    <x v="188"/>
    <x v="25"/>
    <x v="25"/>
    <x v="0"/>
    <x v="2"/>
    <s v="HOM-03"/>
    <s v="Mixer Grinder"/>
    <x v="1"/>
    <n v="4"/>
    <n v="4105.03"/>
    <n v="0.1"/>
    <x v="274"/>
    <n v="4306.9399999999996"/>
    <n v="84.65"/>
    <x v="1"/>
  </r>
  <r>
    <s v="ORD-1276"/>
    <x v="189"/>
    <x v="25"/>
    <x v="25"/>
    <x v="0"/>
    <x v="2"/>
    <s v="OFF-05"/>
    <s v="File Folder"/>
    <x v="2"/>
    <n v="10"/>
    <n v="250.51"/>
    <n v="0.2"/>
    <x v="275"/>
    <n v="304.11"/>
    <n v="227.04"/>
    <x v="0"/>
  </r>
  <r>
    <s v="ORD-1277"/>
    <x v="64"/>
    <x v="21"/>
    <x v="21"/>
    <x v="2"/>
    <x v="0"/>
    <s v="CLO-01"/>
    <s v="Cotton T-Shirt"/>
    <x v="3"/>
    <n v="11"/>
    <n v="579.15"/>
    <n v="0.2"/>
    <x v="276"/>
    <n v="1381.33"/>
    <n v="53.64"/>
    <x v="2"/>
  </r>
  <r>
    <s v="ORD-1278"/>
    <x v="190"/>
    <x v="2"/>
    <x v="2"/>
    <x v="1"/>
    <x v="2"/>
    <s v="CLO-08"/>
    <s v="Casual Sneakers"/>
    <x v="3"/>
    <n v="10"/>
    <n v="1691.28"/>
    <n v="0.15"/>
    <x v="277"/>
    <n v="3322.41"/>
    <n v="123.96"/>
    <x v="0"/>
  </r>
  <r>
    <s v="ORD-1279"/>
    <x v="191"/>
    <x v="77"/>
    <x v="73"/>
    <x v="2"/>
    <x v="3"/>
    <s v="HOM-05"/>
    <s v="Water Bottle"/>
    <x v="1"/>
    <n v="6"/>
    <n v="2491.6"/>
    <n v="0.05"/>
    <x v="278"/>
    <n v="4756.63"/>
    <n v="20.57"/>
    <x v="0"/>
  </r>
  <r>
    <s v="ORD-1280"/>
    <x v="192"/>
    <x v="48"/>
    <x v="46"/>
    <x v="0"/>
    <x v="1"/>
    <s v="OFF-02"/>
    <s v="Stapler"/>
    <x v="2"/>
    <n v="7"/>
    <n v="213.37"/>
    <n v="0.05"/>
    <x v="279"/>
    <n v="289.44"/>
    <n v="133.78"/>
    <x v="2"/>
  </r>
  <r>
    <s v="ORD-1281"/>
    <x v="141"/>
    <x v="69"/>
    <x v="66"/>
    <x v="1"/>
    <x v="1"/>
    <s v="OFF-09"/>
    <s v="Highlighter Set"/>
    <x v="2"/>
    <n v="3"/>
    <n v="474.61"/>
    <n v="0.05"/>
    <x v="280"/>
    <n v="288.93"/>
    <n v="225.66"/>
    <x v="0"/>
  </r>
  <r>
    <s v="ORD-1282"/>
    <x v="193"/>
    <x v="46"/>
    <x v="44"/>
    <x v="0"/>
    <x v="4"/>
    <s v="ELE-08"/>
    <s v="Smartwatch"/>
    <x v="0"/>
    <n v="2"/>
    <n v="4224.79"/>
    <n v="0"/>
    <x v="281"/>
    <n v="2870.14"/>
    <n v="20.16"/>
    <x v="4"/>
  </r>
  <r>
    <s v="ORD-1283"/>
    <x v="24"/>
    <x v="13"/>
    <x v="13"/>
    <x v="0"/>
    <x v="4"/>
    <s v="FUR-05"/>
    <s v="Filing Cabinet"/>
    <x v="4"/>
    <n v="5"/>
    <n v="1928.05"/>
    <n v="0"/>
    <x v="282"/>
    <n v="3734.66"/>
    <n v="105.52"/>
    <x v="3"/>
  </r>
  <r>
    <s v="ORD-1284"/>
    <x v="34"/>
    <x v="51"/>
    <x v="49"/>
    <x v="2"/>
    <x v="4"/>
    <s v="CLO-05"/>
    <s v="Winter Jacket"/>
    <x v="3"/>
    <n v="4"/>
    <n v="1244.31"/>
    <n v="0"/>
    <x v="283"/>
    <n v="1364.14"/>
    <n v="20.25"/>
    <x v="4"/>
  </r>
  <r>
    <s v="ORD-1285"/>
    <x v="62"/>
    <x v="60"/>
    <x v="57"/>
    <x v="0"/>
    <x v="1"/>
    <s v="FUR-10"/>
    <s v="Coffee Table"/>
    <x v="4"/>
    <n v="9"/>
    <n v="6503.87"/>
    <n v="0"/>
    <x v="284"/>
    <n v="26222.69"/>
    <n v="99.02"/>
    <x v="0"/>
  </r>
  <r>
    <s v="ORD-1286"/>
    <x v="194"/>
    <x v="20"/>
    <x v="20"/>
    <x v="2"/>
    <x v="1"/>
    <s v="FUR-08"/>
    <s v="Bed Frame"/>
    <x v="4"/>
    <n v="4"/>
    <n v="4187.95"/>
    <n v="0.15"/>
    <x v="285"/>
    <n v="1650.23"/>
    <n v="43.74"/>
    <x v="2"/>
  </r>
  <r>
    <s v="ORD-1287"/>
    <x v="135"/>
    <x v="35"/>
    <x v="34"/>
    <x v="2"/>
    <x v="3"/>
    <s v="FUR-07"/>
    <s v="Sofa Cover"/>
    <x v="4"/>
    <n v="11"/>
    <n v="8944.93"/>
    <n v="0"/>
    <x v="286"/>
    <n v="42594.58"/>
    <n v="149.56"/>
    <x v="1"/>
  </r>
  <r>
    <s v="ORD-1288"/>
    <x v="195"/>
    <x v="25"/>
    <x v="25"/>
    <x v="0"/>
    <x v="2"/>
    <s v="CLO-06"/>
    <s v="Sports Cap"/>
    <x v="3"/>
    <n v="11"/>
    <n v="1946.19"/>
    <n v="0.05"/>
    <x v="287"/>
    <n v="5265.99"/>
    <n v="121.75"/>
    <x v="3"/>
  </r>
  <r>
    <s v="ORD-1289"/>
    <x v="196"/>
    <x v="30"/>
    <x v="29"/>
    <x v="0"/>
    <x v="2"/>
    <s v="ELE-03"/>
    <s v="USB-C Charger"/>
    <x v="0"/>
    <n v="10"/>
    <n v="3447.04"/>
    <n v="0"/>
    <x v="288"/>
    <n v="7210.79"/>
    <n v="92.34"/>
    <x v="3"/>
  </r>
  <r>
    <s v="ORD-1290"/>
    <x v="197"/>
    <x v="2"/>
    <x v="2"/>
    <x v="1"/>
    <x v="2"/>
    <s v="OFF-02"/>
    <s v="Stapler"/>
    <x v="2"/>
    <n v="9"/>
    <n v="500.75"/>
    <n v="0.15"/>
    <x v="289"/>
    <n v="667.46"/>
    <n v="199.16"/>
    <x v="0"/>
  </r>
  <r>
    <s v="ORD-1291"/>
    <x v="138"/>
    <x v="35"/>
    <x v="34"/>
    <x v="2"/>
    <x v="3"/>
    <s v="FUR-09"/>
    <s v="Wardrobe"/>
    <x v="4"/>
    <n v="9"/>
    <n v="2671.44"/>
    <n v="0.05"/>
    <x v="290"/>
    <n v="7840.76"/>
    <n v="32.549999999999997"/>
    <x v="3"/>
  </r>
  <r>
    <s v="ORD-1292"/>
    <x v="42"/>
    <x v="47"/>
    <x v="45"/>
    <x v="0"/>
    <x v="1"/>
    <s v="CLO-02"/>
    <s v="Formal Shirt"/>
    <x v="3"/>
    <n v="8"/>
    <n v="1703.78"/>
    <n v="0"/>
    <x v="291"/>
    <n v="4333.4399999999996"/>
    <n v="244.87"/>
    <x v="2"/>
  </r>
  <r>
    <s v="ORD-1293"/>
    <x v="198"/>
    <x v="63"/>
    <x v="60"/>
    <x v="1"/>
    <x v="1"/>
    <s v="FUR-07"/>
    <s v="Sofa Cover"/>
    <x v="4"/>
    <n v="7"/>
    <n v="4050.22"/>
    <n v="0.15"/>
    <x v="292"/>
    <n v="7280.89"/>
    <n v="128.33000000000001"/>
    <x v="0"/>
  </r>
  <r>
    <s v="ORD-1294"/>
    <x v="199"/>
    <x v="74"/>
    <x v="65"/>
    <x v="0"/>
    <x v="4"/>
    <s v="HOM-02"/>
    <s v="Electric Kettle"/>
    <x v="1"/>
    <n v="5"/>
    <n v="1392.42"/>
    <n v="0"/>
    <x v="293"/>
    <n v="1481.74"/>
    <n v="111.53"/>
    <x v="2"/>
  </r>
  <r>
    <s v="ORD-1295"/>
    <x v="13"/>
    <x v="14"/>
    <x v="14"/>
    <x v="2"/>
    <x v="2"/>
    <s v="CLO-07"/>
    <s v="Leather Belt"/>
    <x v="3"/>
    <n v="7"/>
    <n v="481.34"/>
    <n v="0.1"/>
    <x v="294"/>
    <n v="726.39"/>
    <n v="55.12"/>
    <x v="0"/>
  </r>
  <r>
    <s v="ORD-1296"/>
    <x v="200"/>
    <x v="61"/>
    <x v="58"/>
    <x v="1"/>
    <x v="0"/>
    <s v="ELE-09"/>
    <s v="Mechanical Keyboard"/>
    <x v="0"/>
    <n v="3"/>
    <n v="2691.92"/>
    <n v="0.05"/>
    <x v="295"/>
    <n v="2046.32"/>
    <n v="195.54"/>
    <x v="0"/>
  </r>
  <r>
    <s v="ORD-1297"/>
    <x v="0"/>
    <x v="61"/>
    <x v="58"/>
    <x v="1"/>
    <x v="0"/>
    <s v="CLO-04"/>
    <s v="Running Shoes"/>
    <x v="3"/>
    <n v="4"/>
    <n v="489.67"/>
    <n v="0.05"/>
    <x v="296"/>
    <n v="726.68"/>
    <n v="160.83000000000001"/>
    <x v="0"/>
  </r>
  <r>
    <s v="ORD-1298"/>
    <x v="201"/>
    <x v="61"/>
    <x v="58"/>
    <x v="1"/>
    <x v="0"/>
    <s v="FUR-02"/>
    <s v="Study Table"/>
    <x v="4"/>
    <n v="12"/>
    <n v="2270.25"/>
    <n v="0"/>
    <x v="297"/>
    <n v="11143.53"/>
    <n v="239.19"/>
    <x v="1"/>
  </r>
  <r>
    <s v="ORD-1299"/>
    <x v="110"/>
    <x v="22"/>
    <x v="22"/>
    <x v="0"/>
    <x v="2"/>
    <s v="OFF-03"/>
    <s v="Sticky Notes Pack"/>
    <x v="2"/>
    <n v="3"/>
    <n v="612.33000000000004"/>
    <n v="0.2"/>
    <x v="298"/>
    <n v="335.82"/>
    <n v="223.88"/>
    <x v="0"/>
  </r>
  <r>
    <s v="ORD-1300"/>
    <x v="202"/>
    <x v="66"/>
    <x v="63"/>
    <x v="0"/>
    <x v="0"/>
    <s v="CLO-05"/>
    <s v="Winter Jacket"/>
    <x v="3"/>
    <n v="2"/>
    <n v="878.49"/>
    <n v="0.1"/>
    <x v="299"/>
    <n v="339.3"/>
    <n v="134.11000000000001"/>
    <x v="1"/>
  </r>
  <r>
    <s v="ORD-1301"/>
    <x v="147"/>
    <x v="44"/>
    <x v="42"/>
    <x v="0"/>
    <x v="1"/>
    <s v="ELE-08"/>
    <s v="Smartwatch"/>
    <x v="0"/>
    <n v="3"/>
    <n v="2033.98"/>
    <n v="0"/>
    <x v="300"/>
    <n v="1566.17"/>
    <n v="225.68"/>
    <x v="0"/>
  </r>
  <r>
    <s v="ORD-1302"/>
    <x v="120"/>
    <x v="34"/>
    <x v="33"/>
    <x v="1"/>
    <x v="4"/>
    <s v="HOM-01"/>
    <s v="Non-stick Pan"/>
    <x v="1"/>
    <n v="1"/>
    <n v="1524.94"/>
    <n v="0.05"/>
    <x v="301"/>
    <n v="471.21"/>
    <n v="231.65"/>
    <x v="3"/>
  </r>
  <r>
    <s v="ORD-1303"/>
    <x v="14"/>
    <x v="55"/>
    <x v="53"/>
    <x v="1"/>
    <x v="4"/>
    <s v="HOM-07"/>
    <s v="Air Fryer"/>
    <x v="1"/>
    <n v="6"/>
    <n v="1542.01"/>
    <n v="0.15"/>
    <x v="302"/>
    <n v="2035.6"/>
    <n v="209.98"/>
    <x v="1"/>
  </r>
  <r>
    <s v="ORD-1304"/>
    <x v="158"/>
    <x v="65"/>
    <x v="62"/>
    <x v="0"/>
    <x v="1"/>
    <s v="ELE-09"/>
    <s v="Mechanical Keyboard"/>
    <x v="0"/>
    <n v="1"/>
    <n v="1299.44"/>
    <n v="0.2"/>
    <x v="303"/>
    <n v="157.30000000000001"/>
    <n v="30.56"/>
    <x v="4"/>
  </r>
  <r>
    <s v="ORD-1305"/>
    <x v="203"/>
    <x v="5"/>
    <x v="5"/>
    <x v="0"/>
    <x v="3"/>
    <s v="CLO-05"/>
    <s v="Winter Jacket"/>
    <x v="3"/>
    <n v="6"/>
    <n v="490.05"/>
    <n v="0.05"/>
    <x v="304"/>
    <n v="1170.26"/>
    <n v="66.150000000000006"/>
    <x v="1"/>
  </r>
  <r>
    <s v="ORD-1306"/>
    <x v="179"/>
    <x v="35"/>
    <x v="34"/>
    <x v="2"/>
    <x v="3"/>
    <s v="HOM-04"/>
    <s v="Dinner Set"/>
    <x v="1"/>
    <n v="6"/>
    <n v="3121.78"/>
    <n v="0.05"/>
    <x v="305"/>
    <n v="2819.97"/>
    <n v="198.45"/>
    <x v="1"/>
  </r>
  <r>
    <s v="ORD-1307"/>
    <x v="69"/>
    <x v="2"/>
    <x v="2"/>
    <x v="1"/>
    <x v="2"/>
    <s v="FUR-01"/>
    <s v="Office Chair"/>
    <x v="4"/>
    <n v="1"/>
    <n v="3017.38"/>
    <n v="0"/>
    <x v="306"/>
    <n v="878.1"/>
    <n v="179.5"/>
    <x v="0"/>
  </r>
  <r>
    <s v="ORD-1308"/>
    <x v="164"/>
    <x v="66"/>
    <x v="63"/>
    <x v="0"/>
    <x v="0"/>
    <s v="ELE-07"/>
    <s v="Power Bank 20000mAh"/>
    <x v="0"/>
    <n v="2"/>
    <n v="1400.26"/>
    <n v="0"/>
    <x v="307"/>
    <n v="966.31"/>
    <n v="241.07"/>
    <x v="3"/>
  </r>
  <r>
    <s v="ORD-1309"/>
    <x v="26"/>
    <x v="26"/>
    <x v="26"/>
    <x v="1"/>
    <x v="0"/>
    <s v="ELE-01"/>
    <s v="Wireless Mouse"/>
    <x v="0"/>
    <n v="9"/>
    <n v="2210.92"/>
    <n v="0"/>
    <x v="308"/>
    <n v="6673.59"/>
    <n v="192.02"/>
    <x v="1"/>
  </r>
  <r>
    <s v="ORD-1310"/>
    <x v="204"/>
    <x v="50"/>
    <x v="48"/>
    <x v="2"/>
    <x v="1"/>
    <s v="HOM-03"/>
    <s v="Mixer Grinder"/>
    <x v="1"/>
    <n v="7"/>
    <n v="744.22"/>
    <n v="0.1"/>
    <x v="309"/>
    <n v="1742.23"/>
    <n v="172.36"/>
    <x v="3"/>
  </r>
  <r>
    <s v="ORD-1311"/>
    <x v="45"/>
    <x v="78"/>
    <x v="74"/>
    <x v="2"/>
    <x v="0"/>
    <s v="OFF-05"/>
    <s v="File Folder"/>
    <x v="2"/>
    <n v="7"/>
    <n v="575.54"/>
    <n v="0.15"/>
    <x v="310"/>
    <n v="880.03"/>
    <n v="124.13"/>
    <x v="3"/>
  </r>
  <r>
    <s v="ORD-1312"/>
    <x v="205"/>
    <x v="60"/>
    <x v="57"/>
    <x v="0"/>
    <x v="1"/>
    <s v="FUR-03"/>
    <s v="Bookshelf"/>
    <x v="4"/>
    <n v="2"/>
    <n v="2412.1999999999998"/>
    <n v="0"/>
    <x v="311"/>
    <n v="1628.76"/>
    <n v="92.23"/>
    <x v="0"/>
  </r>
  <r>
    <s v="ORD-1313"/>
    <x v="206"/>
    <x v="24"/>
    <x v="24"/>
    <x v="1"/>
    <x v="2"/>
    <s v="OFF-04"/>
    <s v="Ball Pen Box"/>
    <x v="2"/>
    <n v="5"/>
    <n v="397.51"/>
    <n v="0.2"/>
    <x v="312"/>
    <n v="437.3"/>
    <n v="56.25"/>
    <x v="2"/>
  </r>
  <r>
    <s v="ORD-1314"/>
    <x v="18"/>
    <x v="16"/>
    <x v="16"/>
    <x v="1"/>
    <x v="4"/>
    <s v="ELE-04"/>
    <s v="Laptop Stand"/>
    <x v="0"/>
    <n v="3"/>
    <n v="955.73"/>
    <n v="0"/>
    <x v="313"/>
    <n v="596.09"/>
    <n v="111.14"/>
    <x v="0"/>
  </r>
  <r>
    <s v="ORD-1315"/>
    <x v="207"/>
    <x v="35"/>
    <x v="34"/>
    <x v="2"/>
    <x v="3"/>
    <s v="OFF-03"/>
    <s v="Sticky Notes Pack"/>
    <x v="2"/>
    <n v="7"/>
    <n v="690.95"/>
    <n v="0.1"/>
    <x v="314"/>
    <n v="788.28"/>
    <n v="77.47"/>
    <x v="4"/>
  </r>
  <r>
    <s v="ORD-1316"/>
    <x v="201"/>
    <x v="76"/>
    <x v="72"/>
    <x v="1"/>
    <x v="4"/>
    <s v="FUR-02"/>
    <s v="Study Table"/>
    <x v="4"/>
    <n v="1"/>
    <n v="7676.9"/>
    <n v="0"/>
    <x v="315"/>
    <n v="3203.73"/>
    <n v="209.44"/>
    <x v="2"/>
  </r>
  <r>
    <s v="ORD-1317"/>
    <x v="178"/>
    <x v="17"/>
    <x v="17"/>
    <x v="2"/>
    <x v="0"/>
    <s v="HOM-10"/>
    <s v="Table Lamp"/>
    <x v="1"/>
    <n v="2"/>
    <n v="500.28"/>
    <n v="0"/>
    <x v="316"/>
    <n v="400.79"/>
    <n v="168.58"/>
    <x v="3"/>
  </r>
  <r>
    <s v="ORD-1318"/>
    <x v="208"/>
    <x v="30"/>
    <x v="29"/>
    <x v="0"/>
    <x v="2"/>
    <s v="OFF-02"/>
    <s v="Stapler"/>
    <x v="2"/>
    <n v="8"/>
    <n v="87.98"/>
    <n v="0.1"/>
    <x v="317"/>
    <n v="170.13"/>
    <n v="186.62"/>
    <x v="4"/>
  </r>
  <r>
    <s v="ORD-1319"/>
    <x v="209"/>
    <x v="67"/>
    <x v="64"/>
    <x v="0"/>
    <x v="1"/>
    <s v="CLO-07"/>
    <s v="Leather Belt"/>
    <x v="3"/>
    <n v="6"/>
    <n v="772.38"/>
    <n v="0"/>
    <x v="318"/>
    <n v="1766.84"/>
    <n v="122.58"/>
    <x v="3"/>
  </r>
  <r>
    <s v="ORD-1320"/>
    <x v="114"/>
    <x v="55"/>
    <x v="53"/>
    <x v="1"/>
    <x v="4"/>
    <s v="HOM-10"/>
    <s v="Table Lamp"/>
    <x v="1"/>
    <n v="4"/>
    <n v="3377.48"/>
    <n v="0.05"/>
    <x v="319"/>
    <n v="4012.47"/>
    <n v="146.66"/>
    <x v="0"/>
  </r>
  <r>
    <s v="ORD-1321"/>
    <x v="210"/>
    <x v="30"/>
    <x v="29"/>
    <x v="0"/>
    <x v="2"/>
    <s v="OFF-07"/>
    <s v="Desk Organizer"/>
    <x v="2"/>
    <n v="7"/>
    <n v="199.59"/>
    <n v="0.2"/>
    <x v="320"/>
    <n v="165.62"/>
    <n v="165.07"/>
    <x v="1"/>
  </r>
  <r>
    <s v="ORD-1322"/>
    <x v="144"/>
    <x v="74"/>
    <x v="65"/>
    <x v="0"/>
    <x v="4"/>
    <s v="CLO-06"/>
    <s v="Sports Cap"/>
    <x v="3"/>
    <n v="9"/>
    <n v="2019.16"/>
    <n v="0"/>
    <x v="321"/>
    <n v="4031.21"/>
    <n v="135.55000000000001"/>
    <x v="4"/>
  </r>
  <r>
    <s v="ORD-1323"/>
    <x v="211"/>
    <x v="41"/>
    <x v="40"/>
    <x v="2"/>
    <x v="2"/>
    <s v="FUR-01"/>
    <s v="Office Chair"/>
    <x v="4"/>
    <n v="10"/>
    <n v="2908.36"/>
    <n v="0.2"/>
    <x v="322"/>
    <n v="1610.23"/>
    <n v="33.479999999999997"/>
    <x v="4"/>
  </r>
  <r>
    <s v="ORD-1324"/>
    <x v="88"/>
    <x v="71"/>
    <x v="68"/>
    <x v="0"/>
    <x v="3"/>
    <s v="OFF-10"/>
    <s v="Notebook Pack"/>
    <x v="2"/>
    <n v="3"/>
    <n v="125.1"/>
    <n v="0.15"/>
    <x v="323"/>
    <n v="89.96"/>
    <n v="142.75"/>
    <x v="0"/>
  </r>
  <r>
    <s v="ORD-1325"/>
    <x v="41"/>
    <x v="18"/>
    <x v="18"/>
    <x v="1"/>
    <x v="4"/>
    <s v="HOM-07"/>
    <s v="Air Fryer"/>
    <x v="1"/>
    <n v="3"/>
    <n v="1210.06"/>
    <n v="0.1"/>
    <x v="324"/>
    <n v="981.96"/>
    <n v="189.76"/>
    <x v="2"/>
  </r>
  <r>
    <s v="ORD-1326"/>
    <x v="147"/>
    <x v="58"/>
    <x v="38"/>
    <x v="0"/>
    <x v="2"/>
    <s v="ELE-06"/>
    <s v="Noise Cancelling Headphones"/>
    <x v="0"/>
    <n v="10"/>
    <n v="1154.2"/>
    <n v="0"/>
    <x v="325"/>
    <n v="2779.61"/>
    <n v="206.39"/>
    <x v="4"/>
  </r>
  <r>
    <s v="ORD-1327"/>
    <x v="212"/>
    <x v="0"/>
    <x v="0"/>
    <x v="0"/>
    <x v="0"/>
    <s v="OFF-03"/>
    <s v="Sticky Notes Pack"/>
    <x v="2"/>
    <n v="1"/>
    <n v="117.69"/>
    <n v="0"/>
    <x v="326"/>
    <n v="35.26"/>
    <n v="24.58"/>
    <x v="4"/>
  </r>
  <r>
    <s v="ORD-1328"/>
    <x v="145"/>
    <x v="72"/>
    <x v="69"/>
    <x v="0"/>
    <x v="0"/>
    <s v="OFF-10"/>
    <s v="Notebook Pack"/>
    <x v="2"/>
    <n v="3"/>
    <n v="305.57"/>
    <n v="0"/>
    <x v="327"/>
    <n v="201.96"/>
    <n v="214.19"/>
    <x v="2"/>
  </r>
  <r>
    <s v="ORD-1329"/>
    <x v="213"/>
    <x v="73"/>
    <x v="70"/>
    <x v="0"/>
    <x v="2"/>
    <s v="ELE-03"/>
    <s v="USB-C Charger"/>
    <x v="0"/>
    <n v="12"/>
    <n v="4177.17"/>
    <n v="0.2"/>
    <x v="328"/>
    <n v="11141.51"/>
    <n v="141.05000000000001"/>
    <x v="2"/>
  </r>
  <r>
    <s v="ORD-1330"/>
    <x v="213"/>
    <x v="60"/>
    <x v="57"/>
    <x v="0"/>
    <x v="1"/>
    <s v="OFF-07"/>
    <s v="Desk Organizer"/>
    <x v="2"/>
    <n v="2"/>
    <n v="302.42"/>
    <n v="0"/>
    <x v="329"/>
    <n v="251.55"/>
    <n v="56.23"/>
    <x v="4"/>
  </r>
  <r>
    <s v="ORD-1331"/>
    <x v="214"/>
    <x v="7"/>
    <x v="7"/>
    <x v="0"/>
    <x v="2"/>
    <s v="OFF-03"/>
    <s v="Sticky Notes Pack"/>
    <x v="2"/>
    <n v="9"/>
    <n v="570.16999999999996"/>
    <n v="0.1"/>
    <x v="330"/>
    <n v="786.42"/>
    <n v="71.34"/>
    <x v="1"/>
  </r>
  <r>
    <s v="ORD-1332"/>
    <x v="133"/>
    <x v="15"/>
    <x v="15"/>
    <x v="1"/>
    <x v="4"/>
    <s v="CLO-05"/>
    <s v="Winter Jacket"/>
    <x v="3"/>
    <n v="5"/>
    <n v="580.16999999999996"/>
    <n v="0.15"/>
    <x v="331"/>
    <n v="868.95"/>
    <n v="181.46"/>
    <x v="1"/>
  </r>
  <r>
    <s v="ORD-1333"/>
    <x v="31"/>
    <x v="79"/>
    <x v="75"/>
    <x v="2"/>
    <x v="4"/>
    <s v="HOM-01"/>
    <s v="Non-stick Pan"/>
    <x v="1"/>
    <n v="10"/>
    <n v="1863.8"/>
    <n v="0.2"/>
    <x v="332"/>
    <n v="151.29"/>
    <n v="70.81"/>
    <x v="1"/>
  </r>
  <r>
    <s v="ORD-1334"/>
    <x v="215"/>
    <x v="76"/>
    <x v="72"/>
    <x v="1"/>
    <x v="4"/>
    <s v="CLO-03"/>
    <s v="Denim Jeans"/>
    <x v="3"/>
    <n v="12"/>
    <n v="471.17"/>
    <n v="0"/>
    <x v="333"/>
    <n v="1155.71"/>
    <n v="58.61"/>
    <x v="0"/>
  </r>
  <r>
    <s v="ORD-1335"/>
    <x v="3"/>
    <x v="66"/>
    <x v="63"/>
    <x v="0"/>
    <x v="0"/>
    <s v="CLO-01"/>
    <s v="Cotton T-Shirt"/>
    <x v="3"/>
    <n v="4"/>
    <n v="848.99"/>
    <n v="0"/>
    <x v="334"/>
    <n v="1230.6300000000001"/>
    <n v="201.01"/>
    <x v="0"/>
  </r>
  <r>
    <s v="ORD-1336"/>
    <x v="216"/>
    <x v="51"/>
    <x v="49"/>
    <x v="2"/>
    <x v="4"/>
    <s v="CLO-08"/>
    <s v="Casual Sneakers"/>
    <x v="3"/>
    <n v="3"/>
    <n v="2246.0100000000002"/>
    <n v="0.05"/>
    <x v="335"/>
    <n v="1209.8599999999999"/>
    <n v="100.78"/>
    <x v="4"/>
  </r>
  <r>
    <s v="ORD-1337"/>
    <x v="217"/>
    <x v="50"/>
    <x v="48"/>
    <x v="2"/>
    <x v="1"/>
    <s v="CLO-10"/>
    <s v="Woolen Sweater"/>
    <x v="3"/>
    <n v="11"/>
    <n v="796.28"/>
    <n v="0.05"/>
    <x v="336"/>
    <n v="3342.23"/>
    <n v="214.53"/>
    <x v="2"/>
  </r>
  <r>
    <s v="ORD-1338"/>
    <x v="218"/>
    <x v="74"/>
    <x v="65"/>
    <x v="0"/>
    <x v="4"/>
    <s v="OFF-05"/>
    <s v="File Folder"/>
    <x v="2"/>
    <n v="2"/>
    <n v="306.36"/>
    <n v="0.05"/>
    <x v="337"/>
    <n v="220.44"/>
    <n v="37.25"/>
    <x v="0"/>
  </r>
  <r>
    <s v="ORD-1339"/>
    <x v="63"/>
    <x v="75"/>
    <x v="71"/>
    <x v="1"/>
    <x v="4"/>
    <s v="HOM-10"/>
    <s v="Table Lamp"/>
    <x v="1"/>
    <n v="12"/>
    <n v="542.57000000000005"/>
    <n v="0.15"/>
    <x v="338"/>
    <n v="1684.68"/>
    <n v="224.64"/>
    <x v="3"/>
  </r>
  <r>
    <s v="ORD-1340"/>
    <x v="188"/>
    <x v="51"/>
    <x v="49"/>
    <x v="2"/>
    <x v="4"/>
    <s v="ELE-06"/>
    <s v="Noise Cancelling Headphones"/>
    <x v="0"/>
    <n v="4"/>
    <n v="2196.19"/>
    <n v="0.1"/>
    <x v="339"/>
    <n v="1488.93"/>
    <n v="187.89"/>
    <x v="2"/>
  </r>
  <r>
    <s v="ORD-1341"/>
    <x v="219"/>
    <x v="69"/>
    <x v="66"/>
    <x v="1"/>
    <x v="1"/>
    <s v="OFF-04"/>
    <s v="Ball Pen Box"/>
    <x v="2"/>
    <n v="1"/>
    <n v="344.68"/>
    <n v="0.1"/>
    <x v="340"/>
    <n v="48.27"/>
    <n v="55.33"/>
    <x v="2"/>
  </r>
  <r>
    <s v="ORD-1342"/>
    <x v="43"/>
    <x v="72"/>
    <x v="69"/>
    <x v="0"/>
    <x v="0"/>
    <s v="CLO-02"/>
    <s v="Formal Shirt"/>
    <x v="3"/>
    <n v="11"/>
    <n v="1675.2"/>
    <n v="0.05"/>
    <x v="341"/>
    <n v="6451.02"/>
    <n v="25.92"/>
    <x v="3"/>
  </r>
  <r>
    <s v="ORD-1343"/>
    <x v="83"/>
    <x v="68"/>
    <x v="65"/>
    <x v="2"/>
    <x v="0"/>
    <s v="ELE-08"/>
    <s v="Smartwatch"/>
    <x v="0"/>
    <n v="5"/>
    <n v="3661.02"/>
    <n v="0.05"/>
    <x v="342"/>
    <n v="5083.79"/>
    <n v="172.04"/>
    <x v="0"/>
  </r>
  <r>
    <s v="ORD-1344"/>
    <x v="220"/>
    <x v="0"/>
    <x v="0"/>
    <x v="0"/>
    <x v="0"/>
    <s v="CLO-03"/>
    <s v="Denim Jeans"/>
    <x v="3"/>
    <n v="7"/>
    <n v="1112.68"/>
    <n v="0.05"/>
    <x v="343"/>
    <n v="3028.62"/>
    <n v="121.14"/>
    <x v="2"/>
  </r>
  <r>
    <s v="ORD-1345"/>
    <x v="27"/>
    <x v="18"/>
    <x v="18"/>
    <x v="1"/>
    <x v="4"/>
    <s v="OFF-10"/>
    <s v="Notebook Pack"/>
    <x v="2"/>
    <n v="3"/>
    <n v="614.17999999999995"/>
    <n v="0.15"/>
    <x v="344"/>
    <n v="508.22"/>
    <n v="173.67"/>
    <x v="1"/>
  </r>
  <r>
    <s v="ORD-1346"/>
    <x v="171"/>
    <x v="43"/>
    <x v="41"/>
    <x v="1"/>
    <x v="3"/>
    <s v="HOM-04"/>
    <s v="Dinner Set"/>
    <x v="1"/>
    <n v="1"/>
    <n v="4267.67"/>
    <n v="0.2"/>
    <x v="345"/>
    <n v="509.37"/>
    <n v="242.09"/>
    <x v="4"/>
  </r>
  <r>
    <s v="ORD-1347"/>
    <x v="221"/>
    <x v="23"/>
    <x v="23"/>
    <x v="0"/>
    <x v="2"/>
    <s v="FUR-08"/>
    <s v="Bed Frame"/>
    <x v="4"/>
    <n v="2"/>
    <n v="4279.47"/>
    <n v="0.2"/>
    <x v="346"/>
    <n v="611.30999999999995"/>
    <n v="135.47999999999999"/>
    <x v="1"/>
  </r>
  <r>
    <s v="ORD-1348"/>
    <x v="222"/>
    <x v="23"/>
    <x v="23"/>
    <x v="0"/>
    <x v="2"/>
    <s v="HOM-03"/>
    <s v="Mixer Grinder"/>
    <x v="1"/>
    <n v="8"/>
    <n v="1195.24"/>
    <n v="0"/>
    <x v="347"/>
    <n v="1978.92"/>
    <n v="205.95"/>
    <x v="3"/>
  </r>
  <r>
    <s v="ORD-1349"/>
    <x v="176"/>
    <x v="46"/>
    <x v="44"/>
    <x v="0"/>
    <x v="4"/>
    <s v="CLO-02"/>
    <s v="Formal Shirt"/>
    <x v="3"/>
    <n v="7"/>
    <n v="744.22"/>
    <n v="0.2"/>
    <x v="348"/>
    <n v="485.49"/>
    <n v="211.84"/>
    <x v="2"/>
  </r>
  <r>
    <s v="ORD-1350"/>
    <x v="223"/>
    <x v="63"/>
    <x v="60"/>
    <x v="1"/>
    <x v="1"/>
    <s v="ELE-02"/>
    <s v="Bluetooth Speaker"/>
    <x v="0"/>
    <n v="9"/>
    <n v="2149.6799999999998"/>
    <n v="0"/>
    <x v="349"/>
    <n v="4562.8999999999996"/>
    <n v="139.53"/>
    <x v="0"/>
  </r>
  <r>
    <s v="ORD-1351"/>
    <x v="216"/>
    <x v="49"/>
    <x v="47"/>
    <x v="0"/>
    <x v="4"/>
    <s v="HOM-09"/>
    <s v="Bedsheet Set"/>
    <x v="1"/>
    <n v="2"/>
    <n v="2306.44"/>
    <n v="0"/>
    <x v="350"/>
    <n v="1422.39"/>
    <n v="154.02000000000001"/>
    <x v="0"/>
  </r>
  <r>
    <s v="ORD-1352"/>
    <x v="77"/>
    <x v="76"/>
    <x v="72"/>
    <x v="1"/>
    <x v="4"/>
    <s v="HOM-02"/>
    <s v="Electric Kettle"/>
    <x v="1"/>
    <n v="9"/>
    <n v="4448.62"/>
    <n v="0.05"/>
    <x v="351"/>
    <n v="13371.18"/>
    <n v="170.6"/>
    <x v="1"/>
  </r>
  <r>
    <s v="ORD-1353"/>
    <x v="209"/>
    <x v="16"/>
    <x v="16"/>
    <x v="1"/>
    <x v="4"/>
    <s v="CLO-01"/>
    <s v="Cotton T-Shirt"/>
    <x v="3"/>
    <n v="5"/>
    <n v="1186.54"/>
    <n v="0.1"/>
    <x v="352"/>
    <n v="1173.7"/>
    <n v="179.54"/>
    <x v="0"/>
  </r>
  <r>
    <s v="ORD-1354"/>
    <x v="87"/>
    <x v="79"/>
    <x v="75"/>
    <x v="2"/>
    <x v="4"/>
    <s v="OFF-04"/>
    <s v="Ball Pen Box"/>
    <x v="2"/>
    <n v="12"/>
    <n v="406.41"/>
    <n v="0"/>
    <x v="353"/>
    <n v="1100.93"/>
    <n v="24.65"/>
    <x v="2"/>
  </r>
  <r>
    <s v="ORD-1355"/>
    <x v="22"/>
    <x v="61"/>
    <x v="58"/>
    <x v="1"/>
    <x v="0"/>
    <s v="OFF-08"/>
    <s v="Printer Ink Cartridge"/>
    <x v="2"/>
    <n v="11"/>
    <n v="123.66"/>
    <n v="0.2"/>
    <x v="354"/>
    <n v="262.55"/>
    <n v="89.11"/>
    <x v="4"/>
  </r>
  <r>
    <s v="ORD-1356"/>
    <x v="7"/>
    <x v="40"/>
    <x v="39"/>
    <x v="1"/>
    <x v="4"/>
    <s v="OFF-07"/>
    <s v="Desk Organizer"/>
    <x v="2"/>
    <n v="11"/>
    <n v="116.97"/>
    <n v="0.05"/>
    <x v="355"/>
    <n v="446.67"/>
    <n v="209.51"/>
    <x v="4"/>
  </r>
  <r>
    <s v="ORD-1357"/>
    <x v="59"/>
    <x v="22"/>
    <x v="22"/>
    <x v="0"/>
    <x v="2"/>
    <s v="OFF-01"/>
    <s v="A4 Paper Ream"/>
    <x v="2"/>
    <n v="3"/>
    <n v="99.21"/>
    <n v="0.15"/>
    <x v="356"/>
    <n v="51.58"/>
    <n v="51.2"/>
    <x v="1"/>
  </r>
  <r>
    <s v="ORD-1358"/>
    <x v="224"/>
    <x v="27"/>
    <x v="27"/>
    <x v="0"/>
    <x v="1"/>
    <s v="ELE-03"/>
    <s v="USB-C Charger"/>
    <x v="0"/>
    <n v="4"/>
    <n v="3864.21"/>
    <n v="0"/>
    <x v="357"/>
    <n v="6827.78"/>
    <n v="31.63"/>
    <x v="2"/>
  </r>
  <r>
    <s v="ORD-1359"/>
    <x v="179"/>
    <x v="13"/>
    <x v="13"/>
    <x v="0"/>
    <x v="4"/>
    <s v="OFF-06"/>
    <s v="Whiteboard Marker"/>
    <x v="2"/>
    <n v="9"/>
    <n v="347.71"/>
    <n v="0"/>
    <x v="358"/>
    <n v="875.31"/>
    <n v="75.650000000000006"/>
    <x v="4"/>
  </r>
  <r>
    <s v="ORD-1360"/>
    <x v="225"/>
    <x v="62"/>
    <x v="59"/>
    <x v="2"/>
    <x v="2"/>
    <s v="CLO-03"/>
    <s v="Denim Jeans"/>
    <x v="3"/>
    <n v="10"/>
    <n v="1512.93"/>
    <n v="0"/>
    <x v="359"/>
    <n v="6189.72"/>
    <n v="225.73"/>
    <x v="0"/>
  </r>
  <r>
    <s v="ORD-1361"/>
    <x v="87"/>
    <x v="69"/>
    <x v="66"/>
    <x v="1"/>
    <x v="1"/>
    <s v="ELE-07"/>
    <s v="Power Bank 20000mAh"/>
    <x v="0"/>
    <n v="3"/>
    <n v="3929.9"/>
    <n v="0.2"/>
    <x v="360"/>
    <n v="103.4"/>
    <n v="217.14"/>
    <x v="3"/>
  </r>
  <r>
    <s v="ORD-1362"/>
    <x v="89"/>
    <x v="3"/>
    <x v="3"/>
    <x v="0"/>
    <x v="2"/>
    <s v="OFF-07"/>
    <s v="Desk Organizer"/>
    <x v="2"/>
    <n v="1"/>
    <n v="698.47"/>
    <n v="0.2"/>
    <x v="361"/>
    <n v="55.5"/>
    <n v="129.04"/>
    <x v="3"/>
  </r>
  <r>
    <s v="ORD-1363"/>
    <x v="14"/>
    <x v="15"/>
    <x v="15"/>
    <x v="1"/>
    <x v="4"/>
    <s v="HOM-01"/>
    <s v="Non-stick Pan"/>
    <x v="1"/>
    <n v="5"/>
    <n v="3198.38"/>
    <n v="0"/>
    <x v="362"/>
    <n v="4346.84"/>
    <n v="183.15"/>
    <x v="2"/>
  </r>
  <r>
    <s v="ORD-1364"/>
    <x v="226"/>
    <x v="20"/>
    <x v="20"/>
    <x v="2"/>
    <x v="1"/>
    <s v="CLO-06"/>
    <s v="Sports Cap"/>
    <x v="3"/>
    <n v="5"/>
    <n v="780.06"/>
    <n v="0"/>
    <x v="363"/>
    <n v="1094.82"/>
    <n v="209.59"/>
    <x v="4"/>
  </r>
  <r>
    <s v="ORD-1365"/>
    <x v="227"/>
    <x v="11"/>
    <x v="11"/>
    <x v="0"/>
    <x v="2"/>
    <s v="ELE-01"/>
    <s v="Wireless Mouse"/>
    <x v="0"/>
    <n v="11"/>
    <n v="4369.29"/>
    <n v="0.2"/>
    <x v="364"/>
    <n v="7518.97"/>
    <n v="168.89"/>
    <x v="1"/>
  </r>
  <r>
    <s v="ORD-1366"/>
    <x v="228"/>
    <x v="69"/>
    <x v="66"/>
    <x v="1"/>
    <x v="1"/>
    <s v="OFF-02"/>
    <s v="Stapler"/>
    <x v="2"/>
    <n v="2"/>
    <n v="302.20999999999998"/>
    <n v="0"/>
    <x v="365"/>
    <n v="175.19"/>
    <n v="218.14"/>
    <x v="2"/>
  </r>
  <r>
    <s v="ORD-1367"/>
    <x v="229"/>
    <x v="35"/>
    <x v="34"/>
    <x v="2"/>
    <x v="3"/>
    <s v="FUR-03"/>
    <s v="Bookshelf"/>
    <x v="4"/>
    <n v="4"/>
    <n v="8217.56"/>
    <n v="0.2"/>
    <x v="366"/>
    <n v="1172.52"/>
    <n v="206.31"/>
    <x v="4"/>
  </r>
  <r>
    <s v="ORD-1368"/>
    <x v="122"/>
    <x v="63"/>
    <x v="60"/>
    <x v="1"/>
    <x v="1"/>
    <s v="FUR-01"/>
    <s v="Office Chair"/>
    <x v="4"/>
    <n v="8"/>
    <n v="8980.26"/>
    <n v="0"/>
    <x v="367"/>
    <n v="16040.33"/>
    <n v="113.06"/>
    <x v="0"/>
  </r>
  <r>
    <s v="ORD-1369"/>
    <x v="182"/>
    <x v="11"/>
    <x v="11"/>
    <x v="0"/>
    <x v="2"/>
    <s v="HOM-04"/>
    <s v="Dinner Set"/>
    <x v="1"/>
    <n v="12"/>
    <n v="3681.5"/>
    <n v="0.15"/>
    <x v="368"/>
    <n v="7348.62"/>
    <n v="200.53"/>
    <x v="2"/>
  </r>
  <r>
    <s v="ORD-1370"/>
    <x v="230"/>
    <x v="14"/>
    <x v="14"/>
    <x v="2"/>
    <x v="2"/>
    <s v="OFF-03"/>
    <s v="Sticky Notes Pack"/>
    <x v="2"/>
    <n v="9"/>
    <n v="185.85"/>
    <n v="0"/>
    <x v="369"/>
    <n v="555.83000000000004"/>
    <n v="190.41"/>
    <x v="1"/>
  </r>
  <r>
    <s v="ORD-1371"/>
    <x v="231"/>
    <x v="31"/>
    <x v="30"/>
    <x v="0"/>
    <x v="3"/>
    <s v="OFF-02"/>
    <s v="Stapler"/>
    <x v="2"/>
    <n v="6"/>
    <n v="217.5"/>
    <n v="0.2"/>
    <x v="370"/>
    <n v="226.06"/>
    <n v="201.26"/>
    <x v="2"/>
  </r>
  <r>
    <s v="ORD-1372"/>
    <x v="43"/>
    <x v="65"/>
    <x v="62"/>
    <x v="0"/>
    <x v="1"/>
    <s v="OFF-10"/>
    <s v="Notebook Pack"/>
    <x v="2"/>
    <n v="8"/>
    <n v="688.41"/>
    <n v="0.05"/>
    <x v="371"/>
    <n v="2129.0100000000002"/>
    <n v="165.91"/>
    <x v="1"/>
  </r>
  <r>
    <s v="ORD-1373"/>
    <x v="185"/>
    <x v="49"/>
    <x v="47"/>
    <x v="0"/>
    <x v="4"/>
    <s v="ELE-08"/>
    <s v="Smartwatch"/>
    <x v="0"/>
    <n v="9"/>
    <n v="1067.28"/>
    <n v="0.15"/>
    <x v="372"/>
    <n v="1965.12"/>
    <n v="88.62"/>
    <x v="0"/>
  </r>
  <r>
    <s v="ORD-1374"/>
    <x v="182"/>
    <x v="6"/>
    <x v="6"/>
    <x v="1"/>
    <x v="0"/>
    <s v="FUR-04"/>
    <s v="Bean Bag"/>
    <x v="4"/>
    <n v="7"/>
    <n v="8900.09"/>
    <n v="0.05"/>
    <x v="373"/>
    <n v="22689.51"/>
    <n v="218.35"/>
    <x v="3"/>
  </r>
  <r>
    <s v="ORD-1375"/>
    <x v="232"/>
    <x v="17"/>
    <x v="17"/>
    <x v="2"/>
    <x v="0"/>
    <s v="CLO-06"/>
    <s v="Sports Cap"/>
    <x v="3"/>
    <n v="3"/>
    <n v="989.51"/>
    <n v="0"/>
    <x v="374"/>
    <n v="1332.34"/>
    <n v="82.91"/>
    <x v="3"/>
  </r>
  <r>
    <s v="ORD-1376"/>
    <x v="233"/>
    <x v="23"/>
    <x v="23"/>
    <x v="0"/>
    <x v="2"/>
    <s v="FUR-08"/>
    <s v="Bed Frame"/>
    <x v="4"/>
    <n v="3"/>
    <n v="5992.94"/>
    <n v="0.15"/>
    <x v="375"/>
    <n v="3463.58"/>
    <n v="118.68"/>
    <x v="4"/>
  </r>
  <r>
    <s v="ORD-1377"/>
    <x v="192"/>
    <x v="70"/>
    <x v="67"/>
    <x v="0"/>
    <x v="2"/>
    <s v="ELE-01"/>
    <s v="Wireless Mouse"/>
    <x v="0"/>
    <n v="4"/>
    <n v="3449.57"/>
    <n v="0"/>
    <x v="376"/>
    <n v="3132.19"/>
    <n v="194.07"/>
    <x v="1"/>
  </r>
  <r>
    <s v="ORD-1378"/>
    <x v="60"/>
    <x v="64"/>
    <x v="61"/>
    <x v="2"/>
    <x v="2"/>
    <s v="ELE-01"/>
    <s v="Wireless Mouse"/>
    <x v="0"/>
    <n v="12"/>
    <n v="1570.41"/>
    <n v="0.15"/>
    <x v="377"/>
    <n v="1521.8"/>
    <n v="91.78"/>
    <x v="0"/>
  </r>
  <r>
    <s v="ORD-1379"/>
    <x v="234"/>
    <x v="70"/>
    <x v="67"/>
    <x v="0"/>
    <x v="2"/>
    <s v="HOM-10"/>
    <s v="Table Lamp"/>
    <x v="1"/>
    <n v="3"/>
    <n v="700.32"/>
    <n v="0"/>
    <x v="378"/>
    <n v="788.8"/>
    <n v="86.89"/>
    <x v="1"/>
  </r>
  <r>
    <s v="ORD-1380"/>
    <x v="235"/>
    <x v="62"/>
    <x v="59"/>
    <x v="2"/>
    <x v="2"/>
    <s v="HOM-06"/>
    <s v="Vacuum Cleaner"/>
    <x v="1"/>
    <n v="11"/>
    <n v="4979.17"/>
    <n v="0"/>
    <x v="379"/>
    <n v="11007.04"/>
    <n v="132.74"/>
    <x v="3"/>
  </r>
  <r>
    <s v="ORD-1381"/>
    <x v="91"/>
    <x v="25"/>
    <x v="25"/>
    <x v="0"/>
    <x v="2"/>
    <s v="CLO-01"/>
    <s v="Cotton T-Shirt"/>
    <x v="3"/>
    <n v="4"/>
    <n v="1899.77"/>
    <n v="0"/>
    <x v="380"/>
    <n v="3018.37"/>
    <n v="25.04"/>
    <x v="1"/>
  </r>
  <r>
    <s v="ORD-1382"/>
    <x v="236"/>
    <x v="25"/>
    <x v="25"/>
    <x v="0"/>
    <x v="2"/>
    <s v="ELE-06"/>
    <s v="Noise Cancelling Headphones"/>
    <x v="0"/>
    <n v="11"/>
    <n v="3689.3"/>
    <n v="0.05"/>
    <x v="381"/>
    <n v="7339.87"/>
    <n v="78.83"/>
    <x v="1"/>
  </r>
  <r>
    <s v="ORD-1383"/>
    <x v="237"/>
    <x v="49"/>
    <x v="47"/>
    <x v="0"/>
    <x v="4"/>
    <s v="ELE-10"/>
    <s v="Router AC1200"/>
    <x v="0"/>
    <n v="11"/>
    <n v="1021.64"/>
    <n v="0.2"/>
    <x v="382"/>
    <n v="2754.04"/>
    <n v="178.64"/>
    <x v="4"/>
  </r>
  <r>
    <s v="ORD-1384"/>
    <x v="238"/>
    <x v="45"/>
    <x v="43"/>
    <x v="1"/>
    <x v="3"/>
    <s v="CLO-02"/>
    <s v="Formal Shirt"/>
    <x v="3"/>
    <n v="5"/>
    <n v="1343.67"/>
    <n v="0"/>
    <x v="383"/>
    <n v="2678.11"/>
    <n v="177.72"/>
    <x v="0"/>
  </r>
  <r>
    <s v="ORD-1385"/>
    <x v="6"/>
    <x v="35"/>
    <x v="34"/>
    <x v="2"/>
    <x v="3"/>
    <s v="CLO-02"/>
    <s v="Formal Shirt"/>
    <x v="3"/>
    <n v="9"/>
    <n v="893.95"/>
    <n v="0.1"/>
    <x v="384"/>
    <n v="1406.51"/>
    <n v="116.33"/>
    <x v="0"/>
  </r>
  <r>
    <s v="ORD-1386"/>
    <x v="239"/>
    <x v="1"/>
    <x v="1"/>
    <x v="1"/>
    <x v="1"/>
    <s v="HOM-02"/>
    <s v="Electric Kettle"/>
    <x v="1"/>
    <n v="2"/>
    <n v="4009.9"/>
    <n v="0.05"/>
    <x v="385"/>
    <n v="2809.64"/>
    <n v="65.94"/>
    <x v="2"/>
  </r>
  <r>
    <s v="ORD-1387"/>
    <x v="163"/>
    <x v="22"/>
    <x v="22"/>
    <x v="0"/>
    <x v="2"/>
    <s v="FUR-06"/>
    <s v="Standing Desk"/>
    <x v="4"/>
    <n v="7"/>
    <n v="3503.74"/>
    <n v="0"/>
    <x v="386"/>
    <n v="7675.84"/>
    <n v="229.38"/>
    <x v="4"/>
  </r>
  <r>
    <s v="ORD-1388"/>
    <x v="201"/>
    <x v="66"/>
    <x v="63"/>
    <x v="0"/>
    <x v="0"/>
    <s v="FUR-01"/>
    <s v="Office Chair"/>
    <x v="4"/>
    <n v="11"/>
    <n v="1894.22"/>
    <n v="0"/>
    <x v="387"/>
    <n v="5025.58"/>
    <n v="173.88"/>
    <x v="3"/>
  </r>
  <r>
    <s v="ORD-1389"/>
    <x v="240"/>
    <x v="30"/>
    <x v="29"/>
    <x v="0"/>
    <x v="2"/>
    <s v="HOM-02"/>
    <s v="Electric Kettle"/>
    <x v="1"/>
    <n v="5"/>
    <n v="3363.95"/>
    <n v="0.05"/>
    <x v="388"/>
    <n v="2570.62"/>
    <n v="88.09"/>
    <x v="4"/>
  </r>
  <r>
    <s v="ORD-1390"/>
    <x v="2"/>
    <x v="51"/>
    <x v="49"/>
    <x v="2"/>
    <x v="4"/>
    <s v="ELE-03"/>
    <s v="USB-C Charger"/>
    <x v="0"/>
    <n v="5"/>
    <n v="2004.84"/>
    <n v="0.15"/>
    <x v="389"/>
    <n v="2223.6"/>
    <n v="189.86"/>
    <x v="0"/>
  </r>
  <r>
    <s v="ORD-1391"/>
    <x v="6"/>
    <x v="46"/>
    <x v="44"/>
    <x v="0"/>
    <x v="4"/>
    <s v="ELE-03"/>
    <s v="USB-C Charger"/>
    <x v="0"/>
    <n v="11"/>
    <n v="1265"/>
    <n v="0"/>
    <x v="390"/>
    <n v="3149.91"/>
    <n v="239.67"/>
    <x v="2"/>
  </r>
  <r>
    <s v="ORD-1392"/>
    <x v="31"/>
    <x v="30"/>
    <x v="29"/>
    <x v="0"/>
    <x v="2"/>
    <s v="OFF-06"/>
    <s v="Whiteboard Marker"/>
    <x v="2"/>
    <n v="2"/>
    <n v="350.58"/>
    <n v="0.05"/>
    <x v="391"/>
    <n v="232.81"/>
    <n v="108.71"/>
    <x v="4"/>
  </r>
  <r>
    <s v="ORD-1393"/>
    <x v="108"/>
    <x v="19"/>
    <x v="19"/>
    <x v="2"/>
    <x v="0"/>
    <s v="FUR-02"/>
    <s v="Study Table"/>
    <x v="4"/>
    <n v="12"/>
    <n v="6866.01"/>
    <n v="0.2"/>
    <x v="392"/>
    <n v="17314.8"/>
    <n v="115.69"/>
    <x v="1"/>
  </r>
  <r>
    <s v="ORD-1394"/>
    <x v="124"/>
    <x v="36"/>
    <x v="35"/>
    <x v="0"/>
    <x v="4"/>
    <s v="HOM-08"/>
    <s v="Storage Containers"/>
    <x v="1"/>
    <n v="10"/>
    <n v="2146.85"/>
    <n v="0"/>
    <x v="393"/>
    <n v="6379.59"/>
    <n v="218.39"/>
    <x v="3"/>
  </r>
  <r>
    <s v="ORD-1395"/>
    <x v="109"/>
    <x v="36"/>
    <x v="35"/>
    <x v="0"/>
    <x v="4"/>
    <s v="CLO-02"/>
    <s v="Formal Shirt"/>
    <x v="3"/>
    <n v="8"/>
    <n v="401.14"/>
    <n v="0"/>
    <x v="394"/>
    <n v="918.63"/>
    <n v="22.84"/>
    <x v="1"/>
  </r>
  <r>
    <s v="ORD-1396"/>
    <x v="241"/>
    <x v="23"/>
    <x v="23"/>
    <x v="0"/>
    <x v="2"/>
    <s v="HOM-04"/>
    <s v="Dinner Set"/>
    <x v="1"/>
    <n v="6"/>
    <n v="2787.86"/>
    <n v="0.15"/>
    <x v="395"/>
    <n v="2088.4699999999998"/>
    <n v="41.91"/>
    <x v="3"/>
  </r>
  <r>
    <s v="ORD-1397"/>
    <x v="154"/>
    <x v="36"/>
    <x v="35"/>
    <x v="0"/>
    <x v="4"/>
    <s v="OFF-07"/>
    <s v="Desk Organizer"/>
    <x v="2"/>
    <n v="9"/>
    <n v="719.05"/>
    <n v="0.1"/>
    <x v="396"/>
    <n v="2176.73"/>
    <n v="167.98"/>
    <x v="3"/>
  </r>
  <r>
    <s v="ORD-1398"/>
    <x v="54"/>
    <x v="14"/>
    <x v="14"/>
    <x v="2"/>
    <x v="2"/>
    <s v="CLO-08"/>
    <s v="Casual Sneakers"/>
    <x v="3"/>
    <n v="2"/>
    <n v="1953.15"/>
    <n v="0"/>
    <x v="397"/>
    <n v="1522.59"/>
    <n v="243.13"/>
    <x v="0"/>
  </r>
  <r>
    <s v="ORD-1399"/>
    <x v="242"/>
    <x v="14"/>
    <x v="14"/>
    <x v="2"/>
    <x v="2"/>
    <s v="FUR-09"/>
    <s v="Wardrobe"/>
    <x v="4"/>
    <n v="7"/>
    <n v="4345.5600000000004"/>
    <n v="0"/>
    <x v="398"/>
    <n v="13089.03"/>
    <n v="122.16"/>
    <x v="1"/>
  </r>
  <r>
    <s v="ORD-1400"/>
    <x v="155"/>
    <x v="32"/>
    <x v="31"/>
    <x v="0"/>
    <x v="1"/>
    <s v="ELE-08"/>
    <s v="Smartwatch"/>
    <x v="0"/>
    <n v="6"/>
    <n v="1062.96"/>
    <n v="0.05"/>
    <x v="399"/>
    <n v="1362.86"/>
    <n v="24.09"/>
    <x v="4"/>
  </r>
  <r>
    <s v="ORD-1401"/>
    <x v="128"/>
    <x v="43"/>
    <x v="41"/>
    <x v="1"/>
    <x v="3"/>
    <s v="ELE-09"/>
    <s v="Mechanical Keyboard"/>
    <x v="0"/>
    <n v="1"/>
    <n v="3821.04"/>
    <n v="0.2"/>
    <x v="400"/>
    <n v="378.09"/>
    <n v="162.38999999999999"/>
    <x v="2"/>
  </r>
  <r>
    <s v="ORD-1402"/>
    <x v="122"/>
    <x v="1"/>
    <x v="1"/>
    <x v="1"/>
    <x v="1"/>
    <s v="HOM-04"/>
    <s v="Dinner Set"/>
    <x v="1"/>
    <n v="11"/>
    <n v="2498.56"/>
    <n v="0"/>
    <x v="401"/>
    <n v="9871.33"/>
    <n v="32.479999999999997"/>
    <x v="3"/>
  </r>
  <r>
    <s v="ORD-1403"/>
    <x v="73"/>
    <x v="48"/>
    <x v="46"/>
    <x v="0"/>
    <x v="1"/>
    <s v="OFF-09"/>
    <s v="Highlighter Set"/>
    <x v="2"/>
    <n v="10"/>
    <n v="404.85"/>
    <n v="0.15"/>
    <x v="402"/>
    <n v="846.85"/>
    <n v="124.08"/>
    <x v="0"/>
  </r>
  <r>
    <s v="ORD-1404"/>
    <x v="41"/>
    <x v="18"/>
    <x v="18"/>
    <x v="1"/>
    <x v="4"/>
    <s v="ELE-06"/>
    <s v="Noise Cancelling Headphones"/>
    <x v="0"/>
    <n v="11"/>
    <n v="4361.29"/>
    <n v="0"/>
    <x v="403"/>
    <n v="15019.63"/>
    <n v="105.99"/>
    <x v="0"/>
  </r>
  <r>
    <s v="ORD-1405"/>
    <x v="159"/>
    <x v="46"/>
    <x v="44"/>
    <x v="0"/>
    <x v="4"/>
    <s v="FUR-08"/>
    <s v="Bed Frame"/>
    <x v="4"/>
    <n v="12"/>
    <n v="6991.58"/>
    <n v="0.05"/>
    <x v="404"/>
    <n v="31316.09"/>
    <n v="160.5"/>
    <x v="3"/>
  </r>
  <r>
    <s v="ORD-1406"/>
    <x v="243"/>
    <x v="29"/>
    <x v="28"/>
    <x v="0"/>
    <x v="3"/>
    <s v="CLO-04"/>
    <s v="Running Shoes"/>
    <x v="3"/>
    <n v="4"/>
    <n v="1876.93"/>
    <n v="0"/>
    <x v="405"/>
    <n v="1957.36"/>
    <n v="30.7"/>
    <x v="1"/>
  </r>
  <r>
    <s v="ORD-1407"/>
    <x v="65"/>
    <x v="29"/>
    <x v="28"/>
    <x v="0"/>
    <x v="3"/>
    <s v="CLO-08"/>
    <s v="Casual Sneakers"/>
    <x v="3"/>
    <n v="10"/>
    <n v="2403.62"/>
    <n v="0"/>
    <x v="406"/>
    <n v="5024.4399999999996"/>
    <n v="21"/>
    <x v="0"/>
  </r>
  <r>
    <s v="ORD-1408"/>
    <x v="63"/>
    <x v="33"/>
    <x v="32"/>
    <x v="0"/>
    <x v="2"/>
    <s v="CLO-10"/>
    <s v="Woolen Sweater"/>
    <x v="3"/>
    <n v="9"/>
    <n v="2018.38"/>
    <n v="0"/>
    <x v="407"/>
    <n v="5032.6499999999996"/>
    <n v="59.94"/>
    <x v="3"/>
  </r>
  <r>
    <s v="ORD-1409"/>
    <x v="138"/>
    <x v="76"/>
    <x v="72"/>
    <x v="1"/>
    <x v="4"/>
    <s v="CLO-10"/>
    <s v="Woolen Sweater"/>
    <x v="3"/>
    <n v="6"/>
    <n v="1409.04"/>
    <n v="0.05"/>
    <x v="408"/>
    <n v="2496.8200000000002"/>
    <n v="160.07"/>
    <x v="3"/>
  </r>
  <r>
    <s v="ORD-1410"/>
    <x v="43"/>
    <x v="26"/>
    <x v="26"/>
    <x v="1"/>
    <x v="0"/>
    <s v="CLO-06"/>
    <s v="Sports Cap"/>
    <x v="3"/>
    <n v="8"/>
    <n v="2070.5500000000002"/>
    <n v="0"/>
    <x v="409"/>
    <n v="5744.76"/>
    <n v="181"/>
    <x v="1"/>
  </r>
  <r>
    <s v="ORD-1411"/>
    <x v="236"/>
    <x v="35"/>
    <x v="34"/>
    <x v="2"/>
    <x v="3"/>
    <s v="HOM-06"/>
    <s v="Vacuum Cleaner"/>
    <x v="1"/>
    <n v="12"/>
    <n v="4703.3599999999997"/>
    <n v="0.15"/>
    <x v="410"/>
    <n v="13865.37"/>
    <n v="68.23"/>
    <x v="2"/>
  </r>
  <r>
    <s v="ORD-1412"/>
    <x v="68"/>
    <x v="10"/>
    <x v="10"/>
    <x v="1"/>
    <x v="0"/>
    <s v="FUR-03"/>
    <s v="Bookshelf"/>
    <x v="4"/>
    <n v="9"/>
    <n v="6615.63"/>
    <n v="0"/>
    <x v="411"/>
    <n v="16219.58"/>
    <n v="194.98"/>
    <x v="1"/>
  </r>
  <r>
    <s v="ORD-1413"/>
    <x v="11"/>
    <x v="36"/>
    <x v="35"/>
    <x v="0"/>
    <x v="4"/>
    <s v="HOM-10"/>
    <s v="Table Lamp"/>
    <x v="1"/>
    <n v="12"/>
    <n v="2320.4"/>
    <n v="0.15"/>
    <x v="412"/>
    <n v="2131.06"/>
    <n v="142.80000000000001"/>
    <x v="4"/>
  </r>
  <r>
    <s v="ORD-1414"/>
    <x v="21"/>
    <x v="4"/>
    <x v="4"/>
    <x v="0"/>
    <x v="1"/>
    <s v="HOM-02"/>
    <s v="Electric Kettle"/>
    <x v="1"/>
    <n v="7"/>
    <n v="1068.5"/>
    <n v="0.15"/>
    <x v="413"/>
    <n v="2138"/>
    <n v="81.41"/>
    <x v="3"/>
  </r>
  <r>
    <s v="ORD-1415"/>
    <x v="27"/>
    <x v="69"/>
    <x v="66"/>
    <x v="1"/>
    <x v="1"/>
    <s v="OFF-03"/>
    <s v="Sticky Notes Pack"/>
    <x v="2"/>
    <n v="12"/>
    <n v="638.27"/>
    <n v="0"/>
    <x v="414"/>
    <n v="2003.67"/>
    <n v="27.43"/>
    <x v="4"/>
  </r>
  <r>
    <s v="ORD-1416"/>
    <x v="14"/>
    <x v="76"/>
    <x v="72"/>
    <x v="1"/>
    <x v="4"/>
    <s v="HOM-09"/>
    <s v="Bedsheet Set"/>
    <x v="1"/>
    <n v="12"/>
    <n v="3376.75"/>
    <n v="0.05"/>
    <x v="415"/>
    <n v="13801.5"/>
    <n v="200.39"/>
    <x v="2"/>
  </r>
  <r>
    <s v="ORD-1417"/>
    <x v="140"/>
    <x v="51"/>
    <x v="49"/>
    <x v="2"/>
    <x v="4"/>
    <s v="CLO-07"/>
    <s v="Leather Belt"/>
    <x v="3"/>
    <n v="11"/>
    <n v="987.84"/>
    <n v="0.1"/>
    <x v="416"/>
    <n v="3657.03"/>
    <n v="191.04"/>
    <x v="3"/>
  </r>
  <r>
    <s v="ORD-1418"/>
    <x v="244"/>
    <x v="49"/>
    <x v="47"/>
    <x v="0"/>
    <x v="4"/>
    <s v="CLO-04"/>
    <s v="Running Shoes"/>
    <x v="3"/>
    <n v="12"/>
    <n v="1861"/>
    <n v="0"/>
    <x v="417"/>
    <n v="5833.63"/>
    <n v="145.72"/>
    <x v="1"/>
  </r>
  <r>
    <s v="ORD-1419"/>
    <x v="157"/>
    <x v="13"/>
    <x v="13"/>
    <x v="0"/>
    <x v="4"/>
    <s v="FUR-05"/>
    <s v="Filing Cabinet"/>
    <x v="4"/>
    <n v="3"/>
    <n v="8870.94"/>
    <n v="0"/>
    <x v="418"/>
    <n v="10731.78"/>
    <n v="59.97"/>
    <x v="1"/>
  </r>
  <r>
    <s v="ORD-1420"/>
    <x v="245"/>
    <x v="29"/>
    <x v="28"/>
    <x v="0"/>
    <x v="3"/>
    <s v="CLO-01"/>
    <s v="Cotton T-Shirt"/>
    <x v="3"/>
    <n v="5"/>
    <n v="1524.52"/>
    <n v="0"/>
    <x v="419"/>
    <n v="3123.5"/>
    <n v="214.5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F3945-3444-4CD5-90FB-225E02DC6C7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4:B19" firstHeaderRow="1" firstDataRow="1"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dataField="1" showAll="0"/>
    <pivotField showAll="0">
      <items count="4">
        <item x="0"/>
        <item x="2"/>
        <item x="1"/>
        <item t="default"/>
      </items>
    </pivotField>
    <pivotField axis="axisRow" showAll="0">
      <items count="6">
        <item x="4"/>
        <item x="0"/>
        <item x="1"/>
        <item x="3"/>
        <item x="2"/>
        <item t="default"/>
      </items>
    </pivotField>
    <pivotField showAll="0"/>
    <pivotField showAll="0"/>
    <pivotField showAll="0">
      <items count="6">
        <item x="3"/>
        <item x="0"/>
        <item x="4"/>
        <item x="1"/>
        <item x="2"/>
        <item t="default"/>
      </items>
    </pivotField>
    <pivotField showAll="0"/>
    <pivotField numFmtId="165" showAll="0"/>
    <pivotField numFmtId="166" showAll="0"/>
    <pivotField numFmtId="165" showAll="0"/>
    <pivotField numFmtId="165" showAll="0"/>
    <pivotField numFmtId="165"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x v="4"/>
    </i>
  </rowItems>
  <colItems count="1">
    <i/>
  </colItems>
  <dataFields count="1">
    <dataField name="Count of CustomerName" fld="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BA46BD-014B-4859-9950-1B226640A6F8}"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G15:H35" firstHeaderRow="1" firstDataRow="1"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dataField="1" showAll="0"/>
    <pivotField axis="axisRow" showAll="0">
      <items count="4">
        <item x="0"/>
        <item x="2"/>
        <item x="1"/>
        <item t="default"/>
      </items>
    </pivotField>
    <pivotField axis="axisRow" showAll="0">
      <items count="6">
        <item x="4"/>
        <item x="0"/>
        <item x="1"/>
        <item x="3"/>
        <item x="2"/>
        <item t="default"/>
      </items>
    </pivotField>
    <pivotField showAll="0"/>
    <pivotField showAll="0"/>
    <pivotField showAll="0">
      <items count="6">
        <item x="3"/>
        <item x="0"/>
        <item x="4"/>
        <item x="1"/>
        <item x="2"/>
        <item t="default"/>
      </items>
    </pivotField>
    <pivotField showAll="0"/>
    <pivotField numFmtId="165" showAll="0"/>
    <pivotField numFmtId="166" showAll="0"/>
    <pivotField numFmtId="165" showAll="0"/>
    <pivotField numFmtId="165" showAll="0"/>
    <pivotField numFmtId="165"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5"/>
    <field x="4"/>
  </rowFields>
  <rowItems count="20">
    <i>
      <x/>
    </i>
    <i r="1">
      <x/>
    </i>
    <i r="1">
      <x v="1"/>
    </i>
    <i r="1">
      <x v="2"/>
    </i>
    <i>
      <x v="1"/>
    </i>
    <i r="1">
      <x/>
    </i>
    <i r="1">
      <x v="1"/>
    </i>
    <i r="1">
      <x v="2"/>
    </i>
    <i>
      <x v="2"/>
    </i>
    <i r="1">
      <x/>
    </i>
    <i r="1">
      <x v="1"/>
    </i>
    <i r="1">
      <x v="2"/>
    </i>
    <i>
      <x v="3"/>
    </i>
    <i r="1">
      <x/>
    </i>
    <i r="1">
      <x v="1"/>
    </i>
    <i r="1">
      <x v="2"/>
    </i>
    <i>
      <x v="4"/>
    </i>
    <i r="1">
      <x/>
    </i>
    <i r="1">
      <x v="1"/>
    </i>
    <i r="1">
      <x v="2"/>
    </i>
  </rowItems>
  <colItems count="1">
    <i/>
  </colItems>
  <dataFields count="1">
    <dataField name="Count of CustomerName" fld="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72BBFD-463C-4D1F-B0D2-82CC41FF7DD2}"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14:E26" firstHeaderRow="1" firstDataRow="1"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dataField="1" showAll="0"/>
    <pivotField showAll="0">
      <items count="4">
        <item x="0"/>
        <item x="2"/>
        <item x="1"/>
        <item t="default"/>
      </items>
    </pivotField>
    <pivotField showAll="0">
      <items count="6">
        <item x="4"/>
        <item x="0"/>
        <item x="1"/>
        <item x="3"/>
        <item x="2"/>
        <item t="default"/>
      </items>
    </pivotField>
    <pivotField showAll="0"/>
    <pivotField showAll="0"/>
    <pivotField showAll="0">
      <items count="6">
        <item x="3"/>
        <item x="0"/>
        <item x="4"/>
        <item x="1"/>
        <item x="2"/>
        <item t="default"/>
      </items>
    </pivotField>
    <pivotField showAll="0"/>
    <pivotField numFmtId="165" showAll="0"/>
    <pivotField numFmtId="166" showAll="0"/>
    <pivotField numFmtId="165" showAll="0"/>
    <pivotField numFmtId="165" showAll="0"/>
    <pivotField numFmtId="165"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7"/>
  </rowFields>
  <rowItems count="12">
    <i>
      <x v="1"/>
    </i>
    <i>
      <x v="2"/>
    </i>
    <i>
      <x v="3"/>
    </i>
    <i>
      <x v="4"/>
    </i>
    <i>
      <x v="5"/>
    </i>
    <i>
      <x v="6"/>
    </i>
    <i>
      <x v="7"/>
    </i>
    <i>
      <x v="8"/>
    </i>
    <i>
      <x v="9"/>
    </i>
    <i>
      <x v="10"/>
    </i>
    <i>
      <x v="11"/>
    </i>
    <i>
      <x v="12"/>
    </i>
  </rowItems>
  <colItems count="1">
    <i/>
  </colItems>
  <dataFields count="1">
    <dataField name="Count of CustomerName" fld="3" subtotal="count" baseField="0" baseItem="0"/>
  </dataFields>
  <chartFormats count="13">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7" count="1" selected="0">
            <x v="1"/>
          </reference>
        </references>
      </pivotArea>
    </chartFormat>
    <chartFormat chart="4" format="16">
      <pivotArea type="data" outline="0" fieldPosition="0">
        <references count="2">
          <reference field="4294967294" count="1" selected="0">
            <x v="0"/>
          </reference>
          <reference field="17" count="1" selected="0">
            <x v="2"/>
          </reference>
        </references>
      </pivotArea>
    </chartFormat>
    <chartFormat chart="4" format="17">
      <pivotArea type="data" outline="0" fieldPosition="0">
        <references count="2">
          <reference field="4294967294" count="1" selected="0">
            <x v="0"/>
          </reference>
          <reference field="17" count="1" selected="0">
            <x v="3"/>
          </reference>
        </references>
      </pivotArea>
    </chartFormat>
    <chartFormat chart="4" format="18">
      <pivotArea type="data" outline="0" fieldPosition="0">
        <references count="2">
          <reference field="4294967294" count="1" selected="0">
            <x v="0"/>
          </reference>
          <reference field="17" count="1" selected="0">
            <x v="4"/>
          </reference>
        </references>
      </pivotArea>
    </chartFormat>
    <chartFormat chart="4" format="19">
      <pivotArea type="data" outline="0" fieldPosition="0">
        <references count="2">
          <reference field="4294967294" count="1" selected="0">
            <x v="0"/>
          </reference>
          <reference field="17" count="1" selected="0">
            <x v="5"/>
          </reference>
        </references>
      </pivotArea>
    </chartFormat>
    <chartFormat chart="4" format="20">
      <pivotArea type="data" outline="0" fieldPosition="0">
        <references count="2">
          <reference field="4294967294" count="1" selected="0">
            <x v="0"/>
          </reference>
          <reference field="17" count="1" selected="0">
            <x v="6"/>
          </reference>
        </references>
      </pivotArea>
    </chartFormat>
    <chartFormat chart="4" format="21">
      <pivotArea type="data" outline="0" fieldPosition="0">
        <references count="2">
          <reference field="4294967294" count="1" selected="0">
            <x v="0"/>
          </reference>
          <reference field="17" count="1" selected="0">
            <x v="7"/>
          </reference>
        </references>
      </pivotArea>
    </chartFormat>
    <chartFormat chart="4" format="22">
      <pivotArea type="data" outline="0" fieldPosition="0">
        <references count="2">
          <reference field="4294967294" count="1" selected="0">
            <x v="0"/>
          </reference>
          <reference field="17" count="1" selected="0">
            <x v="8"/>
          </reference>
        </references>
      </pivotArea>
    </chartFormat>
    <chartFormat chart="4" format="23">
      <pivotArea type="data" outline="0" fieldPosition="0">
        <references count="2">
          <reference field="4294967294" count="1" selected="0">
            <x v="0"/>
          </reference>
          <reference field="17" count="1" selected="0">
            <x v="9"/>
          </reference>
        </references>
      </pivotArea>
    </chartFormat>
    <chartFormat chart="4" format="24">
      <pivotArea type="data" outline="0" fieldPosition="0">
        <references count="2">
          <reference field="4294967294" count="1" selected="0">
            <x v="0"/>
          </reference>
          <reference field="17" count="1" selected="0">
            <x v="10"/>
          </reference>
        </references>
      </pivotArea>
    </chartFormat>
    <chartFormat chart="4" format="25">
      <pivotArea type="data" outline="0" fieldPosition="0">
        <references count="2">
          <reference field="4294967294" count="1" selected="0">
            <x v="0"/>
          </reference>
          <reference field="17" count="1" selected="0">
            <x v="11"/>
          </reference>
        </references>
      </pivotArea>
    </chartFormat>
    <chartFormat chart="4" format="26">
      <pivotArea type="data" outline="0" fieldPosition="0">
        <references count="2">
          <reference field="4294967294" count="1" selected="0">
            <x v="0"/>
          </reference>
          <reference field="1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3C10AE-F3F2-4B54-B503-4782D4FDE882}"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26:B31" firstHeaderRow="1" firstDataRow="1"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dataField="1" showAll="0"/>
    <pivotField showAll="0">
      <items count="4">
        <item x="0"/>
        <item x="2"/>
        <item x="1"/>
        <item t="default"/>
      </items>
    </pivotField>
    <pivotField showAll="0">
      <items count="6">
        <item x="4"/>
        <item x="0"/>
        <item x="1"/>
        <item x="3"/>
        <item x="2"/>
        <item t="default"/>
      </items>
    </pivotField>
    <pivotField showAll="0"/>
    <pivotField showAll="0"/>
    <pivotField showAll="0">
      <items count="6">
        <item x="3"/>
        <item x="0"/>
        <item x="4"/>
        <item x="1"/>
        <item x="2"/>
        <item t="default"/>
      </items>
    </pivotField>
    <pivotField showAll="0"/>
    <pivotField numFmtId="165" showAll="0"/>
    <pivotField numFmtId="166" showAll="0"/>
    <pivotField numFmtId="165" showAll="0"/>
    <pivotField numFmtId="165" showAll="0"/>
    <pivotField numFmtId="165" showAll="0"/>
    <pivotField axis="axisRow" showAll="0">
      <items count="6">
        <item x="1"/>
        <item x="0"/>
        <item x="3"/>
        <item x="4"/>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5">
    <i>
      <x/>
    </i>
    <i>
      <x v="1"/>
    </i>
    <i>
      <x v="2"/>
    </i>
    <i>
      <x v="3"/>
    </i>
    <i>
      <x v="4"/>
    </i>
  </rowItems>
  <colItems count="1">
    <i/>
  </colItems>
  <dataFields count="1">
    <dataField name="Count of CustomerName" fld="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EFA27D-FD3F-40B6-BFD7-5D8FDC97786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21:B24" firstHeaderRow="1" firstDataRow="1"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dataField="1" showAll="0"/>
    <pivotField axis="axisRow" showAll="0">
      <items count="4">
        <item x="0"/>
        <item x="2"/>
        <item x="1"/>
        <item t="default"/>
      </items>
    </pivotField>
    <pivotField showAll="0">
      <items count="6">
        <item x="4"/>
        <item x="0"/>
        <item x="1"/>
        <item x="3"/>
        <item x="2"/>
        <item t="default"/>
      </items>
    </pivotField>
    <pivotField showAll="0"/>
    <pivotField showAll="0"/>
    <pivotField showAll="0">
      <items count="6">
        <item x="3"/>
        <item x="0"/>
        <item x="4"/>
        <item x="1"/>
        <item x="2"/>
        <item t="default"/>
      </items>
    </pivotField>
    <pivotField showAll="0"/>
    <pivotField numFmtId="165" showAll="0"/>
    <pivotField numFmtId="166" showAll="0"/>
    <pivotField numFmtId="165" showAll="0"/>
    <pivotField numFmtId="165" showAll="0"/>
    <pivotField numFmtId="165"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1"/>
    </i>
    <i>
      <x v="2"/>
    </i>
  </rowItems>
  <colItems count="1">
    <i/>
  </colItems>
  <dataFields count="1">
    <dataField name="Count of CustomerName" fld="3" subtotal="count"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3236CF-5DAD-4DF6-A6DD-8FD16A0CF45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5:B20" firstHeaderRow="1" firstDataRow="1"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showAll="0"/>
    <pivotField showAll="0">
      <items count="4">
        <item x="0"/>
        <item x="2"/>
        <item x="1"/>
        <item t="default"/>
      </items>
    </pivotField>
    <pivotField showAll="0"/>
    <pivotField showAll="0"/>
    <pivotField showAll="0"/>
    <pivotField axis="axisRow" showAll="0">
      <items count="6">
        <item x="3"/>
        <item x="0"/>
        <item x="4"/>
        <item x="1"/>
        <item x="2"/>
        <item t="default"/>
      </items>
    </pivotField>
    <pivotField dataField="1" showAll="0"/>
    <pivotField numFmtId="165" showAll="0"/>
    <pivotField numFmtId="166" showAll="0"/>
    <pivotField numFmtId="165" showAll="0"/>
    <pivotField numFmtId="165" showAll="0"/>
    <pivotField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x v="4"/>
    </i>
  </rowItems>
  <colItems count="1">
    <i/>
  </colItems>
  <dataFields count="1">
    <dataField name="Sum of Quantity" fld="9"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A79A7-E381-4293-90AE-350B0C84BC8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D2:I15" firstHeaderRow="1" firstDataRow="2"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showAll="0"/>
    <pivotField showAll="0">
      <items count="4">
        <item x="0"/>
        <item x="2"/>
        <item x="1"/>
        <item t="default"/>
      </items>
    </pivotField>
    <pivotField showAll="0"/>
    <pivotField showAll="0"/>
    <pivotField showAll="0"/>
    <pivotField axis="axisCol" dataField="1" showAll="0">
      <items count="6">
        <item x="3"/>
        <item x="0"/>
        <item x="4"/>
        <item x="1"/>
        <item x="2"/>
        <item t="default"/>
      </items>
    </pivotField>
    <pivotField showAll="0"/>
    <pivotField numFmtId="165" showAll="0"/>
    <pivotField numFmtId="166" showAll="0"/>
    <pivotField numFmtId="165" showAll="0"/>
    <pivotField numFmtId="165"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2">
    <i>
      <x v="1"/>
    </i>
    <i>
      <x v="2"/>
    </i>
    <i>
      <x v="3"/>
    </i>
    <i>
      <x v="4"/>
    </i>
    <i>
      <x v="5"/>
    </i>
    <i>
      <x v="6"/>
    </i>
    <i>
      <x v="7"/>
    </i>
    <i>
      <x v="8"/>
    </i>
    <i>
      <x v="9"/>
    </i>
    <i>
      <x v="10"/>
    </i>
    <i>
      <x v="11"/>
    </i>
    <i>
      <x v="12"/>
    </i>
  </rowItems>
  <colFields count="1">
    <field x="8"/>
  </colFields>
  <colItems count="5">
    <i>
      <x/>
    </i>
    <i>
      <x v="1"/>
    </i>
    <i>
      <x v="2"/>
    </i>
    <i>
      <x v="3"/>
    </i>
    <i>
      <x v="4"/>
    </i>
  </colItems>
  <dataFields count="1">
    <dataField name="Count of Category" fld="8" subtotal="count"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2" format="10" series="1">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2">
          <reference field="4294967294" count="1" selected="0">
            <x v="0"/>
          </reference>
          <reference field="8" count="1" selected="0">
            <x v="1"/>
          </reference>
        </references>
      </pivotArea>
    </chartFormat>
    <chartFormat chart="2" format="12" series="1">
      <pivotArea type="data" outline="0" fieldPosition="0">
        <references count="2">
          <reference field="4294967294" count="1" selected="0">
            <x v="0"/>
          </reference>
          <reference field="8" count="1" selected="0">
            <x v="2"/>
          </reference>
        </references>
      </pivotArea>
    </chartFormat>
    <chartFormat chart="2" format="13" series="1">
      <pivotArea type="data" outline="0" fieldPosition="0">
        <references count="2">
          <reference field="4294967294" count="1" selected="0">
            <x v="0"/>
          </reference>
          <reference field="8" count="1" selected="0">
            <x v="3"/>
          </reference>
        </references>
      </pivotArea>
    </chartFormat>
    <chartFormat chart="2" format="14" series="1">
      <pivotArea type="data" outline="0" fieldPosition="0">
        <references count="2">
          <reference field="4294967294" count="1" selected="0">
            <x v="0"/>
          </reference>
          <reference field="8" count="1" selected="0">
            <x v="4"/>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344EF2-0987-471B-B26A-59DA4378D66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E17:H23" firstHeaderRow="1" firstDataRow="2"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showAll="0"/>
    <pivotField axis="axisCol" dataField="1" showAll="0">
      <items count="4">
        <item x="0"/>
        <item x="2"/>
        <item x="1"/>
        <item t="default"/>
      </items>
    </pivotField>
    <pivotField showAll="0"/>
    <pivotField showAll="0"/>
    <pivotField showAll="0"/>
    <pivotField axis="axisRow" showAll="0">
      <items count="6">
        <item x="3"/>
        <item x="0"/>
        <item x="4"/>
        <item x="1"/>
        <item x="2"/>
        <item t="default"/>
      </items>
    </pivotField>
    <pivotField showAll="0"/>
    <pivotField numFmtId="165" showAll="0"/>
    <pivotField numFmtId="166" showAll="0"/>
    <pivotField numFmtId="165" showAll="0"/>
    <pivotField numFmtId="165" showAll="0"/>
    <pivotField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x v="4"/>
    </i>
  </rowItems>
  <colFields count="1">
    <field x="4"/>
  </colFields>
  <colItems count="3">
    <i>
      <x/>
    </i>
    <i>
      <x v="1"/>
    </i>
    <i>
      <x v="2"/>
    </i>
  </colItems>
  <dataFields count="1">
    <dataField name="Count of Segment" fld="4" subtotal="count" baseField="0" baseItem="0"/>
  </dataFields>
  <chartFormats count="4">
    <chartFormat chart="8" format="6" series="1">
      <pivotArea type="data" outline="0" fieldPosition="0">
        <references count="2">
          <reference field="4294967294" count="1" selected="0">
            <x v="0"/>
          </reference>
          <reference field="4" count="1" selected="0">
            <x v="0"/>
          </reference>
        </references>
      </pivotArea>
    </chartFormat>
    <chartFormat chart="8" format="7" series="1">
      <pivotArea type="data" outline="0" fieldPosition="0">
        <references count="2">
          <reference field="4294967294" count="1" selected="0">
            <x v="0"/>
          </reference>
          <reference field="4" count="1" selected="0">
            <x v="1"/>
          </reference>
        </references>
      </pivotArea>
    </chartFormat>
    <chartFormat chart="8" format="8" series="1">
      <pivotArea type="data" outline="0" fieldPosition="0">
        <references count="2">
          <reference field="4294967294" count="1" selected="0">
            <x v="0"/>
          </reference>
          <reference field="4" count="1" selected="0">
            <x v="2"/>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654D78-C84B-4718-8BC5-84654CF4219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24:D29" firstHeaderRow="0" firstDataRow="1" firstDataCol="1"/>
  <pivotFields count="18">
    <pivotField showAll="0"/>
    <pivotField numFmtId="164" showAll="0">
      <items count="247">
        <item x="28"/>
        <item x="201"/>
        <item x="199"/>
        <item x="193"/>
        <item x="21"/>
        <item x="56"/>
        <item x="61"/>
        <item x="207"/>
        <item x="142"/>
        <item x="2"/>
        <item x="208"/>
        <item x="120"/>
        <item x="237"/>
        <item x="87"/>
        <item x="112"/>
        <item x="0"/>
        <item x="156"/>
        <item x="27"/>
        <item x="121"/>
        <item x="103"/>
        <item x="1"/>
        <item x="194"/>
        <item x="100"/>
        <item x="32"/>
        <item x="172"/>
        <item x="180"/>
        <item x="150"/>
        <item x="233"/>
        <item x="173"/>
        <item x="8"/>
        <item x="219"/>
        <item x="240"/>
        <item x="102"/>
        <item x="218"/>
        <item x="16"/>
        <item x="115"/>
        <item x="184"/>
        <item x="83"/>
        <item x="50"/>
        <item x="222"/>
        <item x="127"/>
        <item x="196"/>
        <item x="47"/>
        <item x="136"/>
        <item x="93"/>
        <item x="108"/>
        <item x="135"/>
        <item x="210"/>
        <item x="159"/>
        <item x="190"/>
        <item x="72"/>
        <item x="154"/>
        <item x="97"/>
        <item x="24"/>
        <item x="54"/>
        <item x="71"/>
        <item x="174"/>
        <item x="209"/>
        <item x="57"/>
        <item x="12"/>
        <item x="168"/>
        <item x="124"/>
        <item x="31"/>
        <item x="17"/>
        <item x="224"/>
        <item x="185"/>
        <item x="131"/>
        <item x="79"/>
        <item x="145"/>
        <item x="200"/>
        <item x="188"/>
        <item x="162"/>
        <item x="187"/>
        <item x="195"/>
        <item x="29"/>
        <item x="231"/>
        <item x="14"/>
        <item x="62"/>
        <item x="91"/>
        <item x="26"/>
        <item x="88"/>
        <item x="151"/>
        <item x="160"/>
        <item x="42"/>
        <item x="40"/>
        <item x="33"/>
        <item x="197"/>
        <item x="119"/>
        <item x="98"/>
        <item x="166"/>
        <item x="178"/>
        <item x="183"/>
        <item x="3"/>
        <item x="55"/>
        <item x="25"/>
        <item x="64"/>
        <item x="239"/>
        <item x="5"/>
        <item x="77"/>
        <item x="94"/>
        <item x="189"/>
        <item x="53"/>
        <item x="43"/>
        <item x="76"/>
        <item x="51"/>
        <item x="221"/>
        <item x="19"/>
        <item x="130"/>
        <item x="234"/>
        <item x="164"/>
        <item x="78"/>
        <item x="203"/>
        <item x="165"/>
        <item x="45"/>
        <item x="211"/>
        <item x="66"/>
        <item x="101"/>
        <item x="18"/>
        <item x="70"/>
        <item x="215"/>
        <item x="175"/>
        <item x="149"/>
        <item x="80"/>
        <item x="182"/>
        <item x="134"/>
        <item x="37"/>
        <item x="181"/>
        <item x="41"/>
        <item x="107"/>
        <item x="220"/>
        <item x="110"/>
        <item x="92"/>
        <item x="96"/>
        <item x="105"/>
        <item x="223"/>
        <item x="81"/>
        <item x="86"/>
        <item x="49"/>
        <item x="69"/>
        <item x="109"/>
        <item x="84"/>
        <item x="140"/>
        <item x="216"/>
        <item x="44"/>
        <item x="245"/>
        <item x="38"/>
        <item x="235"/>
        <item x="20"/>
        <item x="85"/>
        <item x="155"/>
        <item x="157"/>
        <item x="111"/>
        <item x="206"/>
        <item x="75"/>
        <item x="243"/>
        <item x="226"/>
        <item x="104"/>
        <item x="179"/>
        <item x="74"/>
        <item x="58"/>
        <item x="152"/>
        <item x="225"/>
        <item x="106"/>
        <item x="144"/>
        <item x="228"/>
        <item x="63"/>
        <item x="167"/>
        <item x="212"/>
        <item x="123"/>
        <item x="116"/>
        <item x="99"/>
        <item x="68"/>
        <item x="148"/>
        <item x="139"/>
        <item x="137"/>
        <item x="227"/>
        <item x="89"/>
        <item x="59"/>
        <item x="229"/>
        <item x="202"/>
        <item x="153"/>
        <item x="192"/>
        <item x="39"/>
        <item x="118"/>
        <item x="143"/>
        <item x="238"/>
        <item x="128"/>
        <item x="9"/>
        <item x="171"/>
        <item x="95"/>
        <item x="23"/>
        <item x="126"/>
        <item x="4"/>
        <item x="147"/>
        <item x="198"/>
        <item x="48"/>
        <item x="129"/>
        <item x="141"/>
        <item x="35"/>
        <item x="10"/>
        <item x="205"/>
        <item x="213"/>
        <item x="132"/>
        <item x="170"/>
        <item x="46"/>
        <item x="177"/>
        <item x="7"/>
        <item x="138"/>
        <item x="90"/>
        <item x="117"/>
        <item x="114"/>
        <item x="73"/>
        <item x="30"/>
        <item x="60"/>
        <item x="232"/>
        <item x="244"/>
        <item x="82"/>
        <item x="204"/>
        <item x="125"/>
        <item x="242"/>
        <item x="169"/>
        <item x="161"/>
        <item x="217"/>
        <item x="186"/>
        <item x="122"/>
        <item x="230"/>
        <item x="65"/>
        <item x="52"/>
        <item x="6"/>
        <item x="11"/>
        <item x="241"/>
        <item x="158"/>
        <item x="15"/>
        <item x="146"/>
        <item x="176"/>
        <item x="133"/>
        <item x="36"/>
        <item x="191"/>
        <item x="22"/>
        <item x="34"/>
        <item x="13"/>
        <item x="163"/>
        <item x="67"/>
        <item x="214"/>
        <item x="236"/>
        <item x="113"/>
        <item t="default"/>
      </items>
    </pivotField>
    <pivotField showAll="0"/>
    <pivotField showAll="0"/>
    <pivotField showAll="0">
      <items count="4">
        <item x="0"/>
        <item x="2"/>
        <item x="1"/>
        <item t="default"/>
      </items>
    </pivotField>
    <pivotField showAll="0"/>
    <pivotField showAll="0"/>
    <pivotField showAll="0"/>
    <pivotField axis="axisRow" showAll="0">
      <items count="6">
        <item x="3"/>
        <item x="0"/>
        <item x="4"/>
        <item x="1"/>
        <item x="2"/>
        <item t="default"/>
      </items>
    </pivotField>
    <pivotField showAll="0"/>
    <pivotField numFmtId="165" showAll="0"/>
    <pivotField numFmtId="166" showAll="0"/>
    <pivotField dataField="1" numFmtId="165" showAll="0"/>
    <pivotField dataField="1" numFmtId="165" showAll="0"/>
    <pivotField dataField="1"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x v="4"/>
    </i>
  </rowItems>
  <colFields count="1">
    <field x="-2"/>
  </colFields>
  <colItems count="3">
    <i>
      <x/>
    </i>
    <i i="1">
      <x v="1"/>
    </i>
    <i i="2">
      <x v="2"/>
    </i>
  </colItems>
  <dataFields count="3">
    <dataField name="Sum of ShippingCost" fld="14" baseField="0" baseItem="0" numFmtId="165"/>
    <dataField name="Sum of Sales" fld="12" baseField="0" baseItem="0" numFmtId="165"/>
    <dataField name="Sum of Profit" fld="13" baseField="0" baseItem="0" numFmtId="165"/>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870FA22-3ACF-4074-84E6-41495A617D94}" sourceName="Segment">
  <pivotTables>
    <pivotTable tabId="7" name="PivotTable4"/>
    <pivotTable tabId="7" name="PivotTable12"/>
    <pivotTable tabId="7" name="PivotTable3"/>
    <pivotTable tabId="7" name="PivotTable6"/>
  </pivotTables>
  <data>
    <tabular pivotCacheId="163893724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371CF8-45BB-496C-A7D0-F2467A783EBF}" sourceName="Category">
  <pivotTables>
    <pivotTable tabId="7" name="PivotTable4"/>
    <pivotTable tabId="7" name="PivotTable12"/>
    <pivotTable tabId="7" name="PivotTable3"/>
    <pivotTable tabId="7" name="PivotTable6"/>
  </pivotTables>
  <data>
    <tabular pivotCacheId="1638937242">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27CA0D93-6C74-4F43-8CCD-D4037D5D83AE}" sourceName="Months (OrderDate)">
  <pivotTables>
    <pivotTable tabId="7" name="PivotTable4"/>
    <pivotTable tabId="7" name="PivotTable12"/>
    <pivotTable tabId="7" name="PivotTable3"/>
    <pivotTable tabId="7" name="PivotTable6"/>
  </pivotTables>
  <data>
    <tabular pivotCacheId="1638937242">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44C178BF-04F2-499E-812E-AEA34BD9AF20}" sourceName="Segment">
  <pivotTables>
    <pivotTable tabId="11" name="PivotTable3"/>
    <pivotTable tabId="11" name="PivotTable10"/>
    <pivotTable tabId="11" name="PivotTable2"/>
    <pivotTable tabId="11" name="PivotTable4"/>
    <pivotTable tabId="11" name="PivotTable12"/>
  </pivotTables>
  <data>
    <tabular pivotCacheId="163893724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A40F04-6FDD-416B-A8D6-B4FD4F4CF0C6}" sourceName="Region">
  <pivotTables>
    <pivotTable tabId="11" name="PivotTable3"/>
    <pivotTable tabId="11" name="PivotTable10"/>
    <pivotTable tabId="11" name="PivotTable2"/>
    <pivotTable tabId="11" name="PivotTable4"/>
    <pivotTable tabId="11" name="PivotTable12"/>
  </pivotTables>
  <data>
    <tabular pivotCacheId="1638937242">
      <items count="5">
        <i x="4" s="1"/>
        <i x="0" s="1"/>
        <i x="1"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27C398B-67DF-48DC-8116-8082B5FA65B8}" sourceName="Category">
  <pivotTables>
    <pivotTable tabId="11" name="PivotTable3"/>
    <pivotTable tabId="11" name="PivotTable10"/>
    <pivotTable tabId="11" name="PivotTable2"/>
    <pivotTable tabId="11" name="PivotTable4"/>
    <pivotTable tabId="11" name="PivotTable12"/>
  </pivotTables>
  <data>
    <tabular pivotCacheId="1638937242">
      <items count="5">
        <i x="3" s="1"/>
        <i x="0" s="1"/>
        <i x="4"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1" xr10:uid="{69FCE11E-2275-4CDE-BFD6-2A58AE589A6D}" sourceName="Months (OrderDate)">
  <pivotTables>
    <pivotTable tabId="11" name="PivotTable3"/>
    <pivotTable tabId="11" name="PivotTable10"/>
    <pivotTable tabId="11" name="PivotTable2"/>
    <pivotTable tabId="11" name="PivotTable4"/>
    <pivotTable tabId="11" name="PivotTable12"/>
  </pivotTables>
  <data>
    <tabular pivotCacheId="163893724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207D95D9-B64C-4451-96EC-88F3CE8C2F47}" cache="Slicer_Segment1" caption="Segment" rowHeight="241300"/>
  <slicer name="Region" xr10:uid="{B8F83DE2-18F2-413A-A6CA-0AAE3D788FD5}" cache="Slicer_Region" caption="Region" rowHeight="241300"/>
  <slicer name="Category 1" xr10:uid="{FB8686F6-17E3-4CB8-808C-18627816412A}" cache="Slicer_Category1" caption="Category" rowHeight="241300"/>
  <slicer name="Months (OrderDate) 1" xr10:uid="{A97A62F3-68CB-4A13-9AFE-1E2FE6D59019}" cache="Slicer_Months__OrderDate1" caption="Months (OrderDate)"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BA4E586-C82A-4F17-B85F-38CB6CDF107B}" cache="Slicer_Segment" caption="Segment" rowHeight="241300"/>
  <slicer name="Category" xr10:uid="{DDCE632B-1720-4F13-9BD3-93C0AEB210CB}" cache="Slicer_Category" caption="Category" rowHeight="241300"/>
  <slicer name="Months (OrderDate)" xr10:uid="{45A16553-D369-4A5D-81B6-3F7B57A1519D}" cache="Slicer_Months__OrderDate" caption="Months (Order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 displayName="RawData" ref="A1:P421" totalsRowShown="0">
  <autoFilter ref="A1:P421" xr:uid="{00000000-0009-0000-0100-000001000000}"/>
  <tableColumns count="16">
    <tableColumn id="1" xr3:uid="{00000000-0010-0000-0000-000001000000}" name="OrderID"/>
    <tableColumn id="2" xr3:uid="{00000000-0010-0000-0000-000002000000}" name="OrderDate"/>
    <tableColumn id="3" xr3:uid="{00000000-0010-0000-0000-000003000000}" name="CustomerID"/>
    <tableColumn id="4" xr3:uid="{00000000-0010-0000-0000-000004000000}" name="CustomerName"/>
    <tableColumn id="5" xr3:uid="{00000000-0010-0000-0000-000005000000}" name="Segment"/>
    <tableColumn id="6" xr3:uid="{00000000-0010-0000-0000-000006000000}" name="Region"/>
    <tableColumn id="7" xr3:uid="{00000000-0010-0000-0000-000007000000}" name="ProductID"/>
    <tableColumn id="8" xr3:uid="{00000000-0010-0000-0000-000008000000}" name="ProductName"/>
    <tableColumn id="9" xr3:uid="{00000000-0010-0000-0000-000009000000}" name="Category"/>
    <tableColumn id="10" xr3:uid="{00000000-0010-0000-0000-00000A000000}" name="Quantity"/>
    <tableColumn id="11" xr3:uid="{00000000-0010-0000-0000-00000B000000}" name="UnitPrice"/>
    <tableColumn id="12" xr3:uid="{00000000-0010-0000-0000-00000C000000}" name="Discount"/>
    <tableColumn id="13" xr3:uid="{00000000-0010-0000-0000-00000D000000}" name="Sales"/>
    <tableColumn id="14" xr3:uid="{00000000-0010-0000-0000-00000E000000}" name="Profit"/>
    <tableColumn id="15" xr3:uid="{00000000-0010-0000-0000-00000F000000}" name="ShippingCost"/>
    <tableColumn id="16" xr3:uid="{00000000-0010-0000-0000-000010000000}" name="PaymentMetho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1"/>
  <sheetViews>
    <sheetView showGridLines="0" tabSelected="1" zoomScaleNormal="100" workbookViewId="0">
      <pane ySplit="1" topLeftCell="A2" activePane="bottomLeft" state="frozen"/>
      <selection pane="bottomLeft" activeCell="E28" sqref="E28"/>
    </sheetView>
  </sheetViews>
  <sheetFormatPr defaultColWidth="8.7109375" defaultRowHeight="15" x14ac:dyDescent="0.25"/>
  <cols>
    <col min="1" max="1" width="15.85546875" customWidth="1"/>
    <col min="2" max="2" width="16.28515625" bestFit="1" customWidth="1"/>
    <col min="3" max="3" width="17.7109375" bestFit="1" customWidth="1"/>
    <col min="4" max="4" width="21.28515625" bestFit="1" customWidth="1"/>
    <col min="5" max="5" width="14.5703125" bestFit="1" customWidth="1"/>
    <col min="6" max="6" width="12.85546875" bestFit="1" customWidth="1"/>
    <col min="7" max="7" width="15.7109375" bestFit="1" customWidth="1"/>
    <col min="8" max="8" width="26.28515625" bestFit="1" customWidth="1"/>
    <col min="9" max="9" width="17.140625" customWidth="1"/>
    <col min="10" max="10" width="14" bestFit="1" customWidth="1"/>
    <col min="11" max="11" width="15" bestFit="1" customWidth="1"/>
    <col min="12" max="12" width="14.5703125" bestFit="1" customWidth="1"/>
    <col min="13" max="13" width="12.85546875" customWidth="1"/>
    <col min="14" max="14" width="13.5703125" customWidth="1"/>
    <col min="15" max="15" width="21.85546875" customWidth="1"/>
    <col min="16" max="16" width="22" customWidth="1"/>
  </cols>
  <sheetData>
    <row r="1" spans="1:16"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customHeight="1" x14ac:dyDescent="0.25">
      <c r="A2" s="2" t="s">
        <v>16</v>
      </c>
      <c r="B2" s="3">
        <v>45321</v>
      </c>
      <c r="C2" s="2" t="s">
        <v>17</v>
      </c>
      <c r="D2" s="2" t="s">
        <v>18</v>
      </c>
      <c r="E2" s="2" t="s">
        <v>19</v>
      </c>
      <c r="F2" s="2" t="s">
        <v>20</v>
      </c>
      <c r="G2" s="2" t="s">
        <v>21</v>
      </c>
      <c r="H2" s="2" t="s">
        <v>22</v>
      </c>
      <c r="I2" s="2" t="s">
        <v>23</v>
      </c>
      <c r="J2" s="4">
        <v>1</v>
      </c>
      <c r="K2" s="5">
        <v>2878.29</v>
      </c>
      <c r="L2" s="6">
        <v>0.1</v>
      </c>
      <c r="M2" s="5">
        <v>2590.46</v>
      </c>
      <c r="N2" s="5">
        <v>345.83</v>
      </c>
      <c r="O2" s="5">
        <v>142.16</v>
      </c>
      <c r="P2" s="2" t="s">
        <v>24</v>
      </c>
    </row>
    <row r="3" spans="1:16" ht="15" customHeight="1" x14ac:dyDescent="0.25">
      <c r="A3" s="2" t="s">
        <v>25</v>
      </c>
      <c r="B3" s="3">
        <v>45327</v>
      </c>
      <c r="C3" s="2" t="s">
        <v>26</v>
      </c>
      <c r="D3" s="2" t="s">
        <v>27</v>
      </c>
      <c r="E3" s="2" t="s">
        <v>28</v>
      </c>
      <c r="F3" s="2" t="s">
        <v>29</v>
      </c>
      <c r="G3" s="2" t="s">
        <v>30</v>
      </c>
      <c r="H3" s="2" t="s">
        <v>31</v>
      </c>
      <c r="I3" s="2" t="s">
        <v>23</v>
      </c>
      <c r="J3" s="4">
        <v>10</v>
      </c>
      <c r="K3" s="5">
        <v>865.05</v>
      </c>
      <c r="L3" s="6">
        <v>0.2</v>
      </c>
      <c r="M3" s="5">
        <v>6920.4</v>
      </c>
      <c r="N3" s="5">
        <v>1653.97</v>
      </c>
      <c r="O3" s="5">
        <v>47.57</v>
      </c>
      <c r="P3" s="2" t="s">
        <v>32</v>
      </c>
    </row>
    <row r="4" spans="1:16" ht="15" customHeight="1" x14ac:dyDescent="0.25">
      <c r="A4" s="2" t="s">
        <v>33</v>
      </c>
      <c r="B4" s="3">
        <v>45312</v>
      </c>
      <c r="C4" s="2" t="s">
        <v>34</v>
      </c>
      <c r="D4" s="2" t="s">
        <v>35</v>
      </c>
      <c r="E4" s="2" t="s">
        <v>28</v>
      </c>
      <c r="F4" s="2" t="s">
        <v>36</v>
      </c>
      <c r="G4" s="2" t="s">
        <v>37</v>
      </c>
      <c r="H4" s="2" t="s">
        <v>38</v>
      </c>
      <c r="I4" s="2" t="s">
        <v>39</v>
      </c>
      <c r="J4" s="4">
        <v>10</v>
      </c>
      <c r="K4" s="5">
        <v>777.12</v>
      </c>
      <c r="L4" s="6">
        <v>0.15</v>
      </c>
      <c r="M4" s="5">
        <v>6605.52</v>
      </c>
      <c r="N4" s="5">
        <v>1197.4000000000001</v>
      </c>
      <c r="O4" s="5">
        <v>140.24</v>
      </c>
      <c r="P4" s="2" t="s">
        <v>40</v>
      </c>
    </row>
    <row r="5" spans="1:16" ht="15" customHeight="1" x14ac:dyDescent="0.25">
      <c r="A5" s="2" t="s">
        <v>41</v>
      </c>
      <c r="B5" s="3">
        <v>45427</v>
      </c>
      <c r="C5" s="2" t="s">
        <v>42</v>
      </c>
      <c r="D5" s="2" t="s">
        <v>43</v>
      </c>
      <c r="E5" s="2" t="s">
        <v>19</v>
      </c>
      <c r="F5" s="2" t="s">
        <v>36</v>
      </c>
      <c r="G5" s="2" t="s">
        <v>44</v>
      </c>
      <c r="H5" s="2" t="s">
        <v>45</v>
      </c>
      <c r="I5" s="2" t="s">
        <v>46</v>
      </c>
      <c r="J5" s="4">
        <v>7</v>
      </c>
      <c r="K5" s="5">
        <v>148.16</v>
      </c>
      <c r="L5" s="6">
        <v>0.15</v>
      </c>
      <c r="M5" s="5">
        <v>881.55</v>
      </c>
      <c r="N5" s="5">
        <v>233.35</v>
      </c>
      <c r="O5" s="5">
        <v>92.72</v>
      </c>
      <c r="P5" s="2" t="s">
        <v>24</v>
      </c>
    </row>
    <row r="6" spans="1:16" ht="15" customHeight="1" x14ac:dyDescent="0.25">
      <c r="A6" s="2" t="s">
        <v>47</v>
      </c>
      <c r="B6" s="3">
        <v>45580</v>
      </c>
      <c r="C6" s="2" t="s">
        <v>48</v>
      </c>
      <c r="D6" s="2" t="s">
        <v>49</v>
      </c>
      <c r="E6" s="2" t="s">
        <v>19</v>
      </c>
      <c r="F6" s="2" t="s">
        <v>29</v>
      </c>
      <c r="G6" s="2" t="s">
        <v>50</v>
      </c>
      <c r="H6" s="2" t="s">
        <v>51</v>
      </c>
      <c r="I6" s="2" t="s">
        <v>52</v>
      </c>
      <c r="J6" s="4">
        <v>2</v>
      </c>
      <c r="K6" s="5">
        <v>461.17</v>
      </c>
      <c r="L6" s="6">
        <v>0</v>
      </c>
      <c r="M6" s="5">
        <v>922.34</v>
      </c>
      <c r="N6" s="5">
        <v>298.39999999999998</v>
      </c>
      <c r="O6" s="5">
        <v>50.47</v>
      </c>
      <c r="P6" s="2" t="s">
        <v>40</v>
      </c>
    </row>
    <row r="7" spans="1:16" ht="15" customHeight="1" x14ac:dyDescent="0.25">
      <c r="A7" s="2" t="s">
        <v>53</v>
      </c>
      <c r="B7" s="3">
        <v>45437</v>
      </c>
      <c r="C7" s="2" t="s">
        <v>54</v>
      </c>
      <c r="D7" s="2" t="s">
        <v>55</v>
      </c>
      <c r="E7" s="2" t="s">
        <v>19</v>
      </c>
      <c r="F7" s="2" t="s">
        <v>56</v>
      </c>
      <c r="G7" s="2" t="s">
        <v>57</v>
      </c>
      <c r="H7" s="2" t="s">
        <v>58</v>
      </c>
      <c r="I7" s="2" t="s">
        <v>59</v>
      </c>
      <c r="J7" s="4">
        <v>3</v>
      </c>
      <c r="K7" s="5">
        <v>4617.84</v>
      </c>
      <c r="L7" s="6">
        <v>0.1</v>
      </c>
      <c r="M7" s="5">
        <v>12468.17</v>
      </c>
      <c r="N7" s="5">
        <v>2412.11</v>
      </c>
      <c r="O7" s="5">
        <v>160.69</v>
      </c>
      <c r="P7" s="2" t="s">
        <v>32</v>
      </c>
    </row>
    <row r="8" spans="1:16" ht="15" customHeight="1" x14ac:dyDescent="0.25">
      <c r="A8" s="2" t="s">
        <v>60</v>
      </c>
      <c r="B8" s="3">
        <v>45631</v>
      </c>
      <c r="C8" s="2" t="s">
        <v>48</v>
      </c>
      <c r="D8" s="2" t="s">
        <v>49</v>
      </c>
      <c r="E8" s="2" t="s">
        <v>19</v>
      </c>
      <c r="F8" s="2" t="s">
        <v>29</v>
      </c>
      <c r="G8" s="2" t="s">
        <v>61</v>
      </c>
      <c r="H8" s="2" t="s">
        <v>62</v>
      </c>
      <c r="I8" s="2" t="s">
        <v>39</v>
      </c>
      <c r="J8" s="4">
        <v>2</v>
      </c>
      <c r="K8" s="5">
        <v>4719.08</v>
      </c>
      <c r="L8" s="6">
        <v>0</v>
      </c>
      <c r="M8" s="5">
        <v>9438.16</v>
      </c>
      <c r="N8" s="5">
        <v>3623.15</v>
      </c>
      <c r="O8" s="5">
        <v>224.63</v>
      </c>
      <c r="P8" s="2" t="s">
        <v>32</v>
      </c>
    </row>
    <row r="9" spans="1:16" ht="15" customHeight="1" x14ac:dyDescent="0.25">
      <c r="A9" s="2" t="s">
        <v>63</v>
      </c>
      <c r="B9" s="3">
        <v>45601</v>
      </c>
      <c r="C9" s="2" t="s">
        <v>64</v>
      </c>
      <c r="D9" s="2" t="s">
        <v>65</v>
      </c>
      <c r="E9" s="2" t="s">
        <v>28</v>
      </c>
      <c r="F9" s="2" t="s">
        <v>20</v>
      </c>
      <c r="G9" s="2" t="s">
        <v>66</v>
      </c>
      <c r="H9" s="2" t="s">
        <v>67</v>
      </c>
      <c r="I9" s="2" t="s">
        <v>46</v>
      </c>
      <c r="J9" s="4">
        <v>4</v>
      </c>
      <c r="K9" s="5">
        <v>588.21</v>
      </c>
      <c r="L9" s="6">
        <v>0</v>
      </c>
      <c r="M9" s="5">
        <v>2352.84</v>
      </c>
      <c r="N9" s="5">
        <v>654.39</v>
      </c>
      <c r="O9" s="5">
        <v>216.17</v>
      </c>
      <c r="P9" s="2" t="s">
        <v>32</v>
      </c>
    </row>
    <row r="10" spans="1:16" ht="15" customHeight="1" x14ac:dyDescent="0.25">
      <c r="A10" s="2" t="s">
        <v>68</v>
      </c>
      <c r="B10" s="3">
        <v>45339</v>
      </c>
      <c r="C10" s="2" t="s">
        <v>69</v>
      </c>
      <c r="D10" s="2" t="s">
        <v>70</v>
      </c>
      <c r="E10" s="2" t="s">
        <v>19</v>
      </c>
      <c r="F10" s="2" t="s">
        <v>36</v>
      </c>
      <c r="G10" s="2" t="s">
        <v>71</v>
      </c>
      <c r="H10" s="2" t="s">
        <v>72</v>
      </c>
      <c r="I10" s="2" t="s">
        <v>46</v>
      </c>
      <c r="J10" s="4">
        <v>11</v>
      </c>
      <c r="K10" s="5">
        <v>367.68</v>
      </c>
      <c r="L10" s="6">
        <v>0</v>
      </c>
      <c r="M10" s="5">
        <v>4044.48</v>
      </c>
      <c r="N10" s="5">
        <v>1775.44</v>
      </c>
      <c r="O10" s="5">
        <v>96.72</v>
      </c>
      <c r="P10" s="2" t="s">
        <v>73</v>
      </c>
    </row>
    <row r="11" spans="1:16" ht="15" customHeight="1" x14ac:dyDescent="0.25">
      <c r="A11" s="2" t="s">
        <v>74</v>
      </c>
      <c r="B11" s="3">
        <v>45574</v>
      </c>
      <c r="C11" s="2" t="s">
        <v>75</v>
      </c>
      <c r="D11" s="2" t="s">
        <v>76</v>
      </c>
      <c r="E11" s="2" t="s">
        <v>28</v>
      </c>
      <c r="F11" s="2" t="s">
        <v>36</v>
      </c>
      <c r="G11" s="2" t="s">
        <v>77</v>
      </c>
      <c r="H11" s="2" t="s">
        <v>78</v>
      </c>
      <c r="I11" s="2" t="s">
        <v>59</v>
      </c>
      <c r="J11" s="4">
        <v>12</v>
      </c>
      <c r="K11" s="5">
        <v>4535.96</v>
      </c>
      <c r="L11" s="6">
        <v>0</v>
      </c>
      <c r="M11" s="5">
        <v>54431.519999999997</v>
      </c>
      <c r="N11" s="5">
        <v>22971.82</v>
      </c>
      <c r="O11" s="5">
        <v>237.36</v>
      </c>
      <c r="P11" s="2" t="s">
        <v>73</v>
      </c>
    </row>
    <row r="12" spans="1:16" ht="15" customHeight="1" x14ac:dyDescent="0.25">
      <c r="A12" s="2" t="s">
        <v>79</v>
      </c>
      <c r="B12" s="3">
        <v>45590</v>
      </c>
      <c r="C12" s="2" t="s">
        <v>17</v>
      </c>
      <c r="D12" s="2" t="s">
        <v>18</v>
      </c>
      <c r="E12" s="2" t="s">
        <v>19</v>
      </c>
      <c r="F12" s="2" t="s">
        <v>20</v>
      </c>
      <c r="G12" s="2" t="s">
        <v>21</v>
      </c>
      <c r="H12" s="2" t="s">
        <v>22</v>
      </c>
      <c r="I12" s="2" t="s">
        <v>23</v>
      </c>
      <c r="J12" s="4">
        <v>9</v>
      </c>
      <c r="K12" s="5">
        <v>1177.57</v>
      </c>
      <c r="L12" s="6">
        <v>0</v>
      </c>
      <c r="M12" s="5">
        <v>10598.13</v>
      </c>
      <c r="N12" s="5">
        <v>4658.33</v>
      </c>
      <c r="O12" s="5">
        <v>103.87</v>
      </c>
      <c r="P12" s="2" t="s">
        <v>24</v>
      </c>
    </row>
    <row r="13" spans="1:16" ht="15" customHeight="1" x14ac:dyDescent="0.25">
      <c r="A13" s="2" t="s">
        <v>80</v>
      </c>
      <c r="B13" s="3">
        <v>45633</v>
      </c>
      <c r="C13" s="2" t="s">
        <v>81</v>
      </c>
      <c r="D13" s="2" t="s">
        <v>82</v>
      </c>
      <c r="E13" s="2" t="s">
        <v>19</v>
      </c>
      <c r="F13" s="2" t="s">
        <v>20</v>
      </c>
      <c r="G13" s="2" t="s">
        <v>83</v>
      </c>
      <c r="H13" s="2" t="s">
        <v>84</v>
      </c>
      <c r="I13" s="2" t="s">
        <v>59</v>
      </c>
      <c r="J13" s="4">
        <v>2</v>
      </c>
      <c r="K13" s="5">
        <v>3958.69</v>
      </c>
      <c r="L13" s="6">
        <v>0.1</v>
      </c>
      <c r="M13" s="5">
        <v>7125.64</v>
      </c>
      <c r="N13" s="5">
        <v>1021.07</v>
      </c>
      <c r="O13" s="5">
        <v>113.47</v>
      </c>
      <c r="P13" s="2" t="s">
        <v>32</v>
      </c>
    </row>
    <row r="14" spans="1:16" ht="15" customHeight="1" x14ac:dyDescent="0.25">
      <c r="A14" s="2" t="s">
        <v>85</v>
      </c>
      <c r="B14" s="3">
        <v>45382</v>
      </c>
      <c r="C14" s="2" t="s">
        <v>64</v>
      </c>
      <c r="D14" s="2" t="s">
        <v>65</v>
      </c>
      <c r="E14" s="2" t="s">
        <v>28</v>
      </c>
      <c r="F14" s="2" t="s">
        <v>20</v>
      </c>
      <c r="G14" s="2" t="s">
        <v>86</v>
      </c>
      <c r="H14" s="2" t="s">
        <v>87</v>
      </c>
      <c r="I14" s="2" t="s">
        <v>59</v>
      </c>
      <c r="J14" s="4">
        <v>7</v>
      </c>
      <c r="K14" s="5">
        <v>1393.33</v>
      </c>
      <c r="L14" s="6">
        <v>0.15</v>
      </c>
      <c r="M14" s="5">
        <v>8290.31</v>
      </c>
      <c r="N14" s="5">
        <v>671.79</v>
      </c>
      <c r="O14" s="5">
        <v>199.95</v>
      </c>
      <c r="P14" s="2" t="s">
        <v>88</v>
      </c>
    </row>
    <row r="15" spans="1:16" ht="15" customHeight="1" x14ac:dyDescent="0.25">
      <c r="A15" s="2" t="s">
        <v>89</v>
      </c>
      <c r="B15" s="3">
        <v>45651</v>
      </c>
      <c r="C15" s="2" t="s">
        <v>34</v>
      </c>
      <c r="D15" s="2" t="s">
        <v>35</v>
      </c>
      <c r="E15" s="2" t="s">
        <v>28</v>
      </c>
      <c r="F15" s="2" t="s">
        <v>36</v>
      </c>
      <c r="G15" s="2" t="s">
        <v>90</v>
      </c>
      <c r="H15" s="2" t="s">
        <v>91</v>
      </c>
      <c r="I15" s="2" t="s">
        <v>46</v>
      </c>
      <c r="J15" s="4">
        <v>2</v>
      </c>
      <c r="K15" s="5">
        <v>336.91</v>
      </c>
      <c r="L15" s="6">
        <v>0</v>
      </c>
      <c r="M15" s="5">
        <v>673.82</v>
      </c>
      <c r="N15" s="5">
        <v>158.58000000000001</v>
      </c>
      <c r="O15" s="5">
        <v>71.16</v>
      </c>
      <c r="P15" s="2" t="s">
        <v>88</v>
      </c>
    </row>
    <row r="16" spans="1:16" ht="15" customHeight="1" x14ac:dyDescent="0.25">
      <c r="A16" s="2" t="s">
        <v>92</v>
      </c>
      <c r="B16" s="3">
        <v>45406</v>
      </c>
      <c r="C16" s="2" t="s">
        <v>93</v>
      </c>
      <c r="D16" s="2" t="s">
        <v>94</v>
      </c>
      <c r="E16" s="2" t="s">
        <v>28</v>
      </c>
      <c r="F16" s="2" t="s">
        <v>20</v>
      </c>
      <c r="G16" s="2" t="s">
        <v>44</v>
      </c>
      <c r="H16" s="2" t="s">
        <v>45</v>
      </c>
      <c r="I16" s="2" t="s">
        <v>46</v>
      </c>
      <c r="J16" s="4">
        <v>1</v>
      </c>
      <c r="K16" s="5">
        <v>545.02</v>
      </c>
      <c r="L16" s="6">
        <v>0.05</v>
      </c>
      <c r="M16" s="5">
        <v>517.77</v>
      </c>
      <c r="N16" s="5">
        <v>173.28</v>
      </c>
      <c r="O16" s="5">
        <v>218.8</v>
      </c>
      <c r="P16" s="2" t="s">
        <v>40</v>
      </c>
    </row>
    <row r="17" spans="1:16" ht="15" customHeight="1" x14ac:dyDescent="0.25">
      <c r="A17" s="2" t="s">
        <v>95</v>
      </c>
      <c r="B17" s="3">
        <v>45639</v>
      </c>
      <c r="C17" s="2" t="s">
        <v>93</v>
      </c>
      <c r="D17" s="2" t="s">
        <v>94</v>
      </c>
      <c r="E17" s="2" t="s">
        <v>28</v>
      </c>
      <c r="F17" s="2" t="s">
        <v>20</v>
      </c>
      <c r="G17" s="2" t="s">
        <v>96</v>
      </c>
      <c r="H17" s="2" t="s">
        <v>97</v>
      </c>
      <c r="I17" s="2" t="s">
        <v>39</v>
      </c>
      <c r="J17" s="4">
        <v>9</v>
      </c>
      <c r="K17" s="5">
        <v>1923.29</v>
      </c>
      <c r="L17" s="6">
        <v>0</v>
      </c>
      <c r="M17" s="5">
        <v>17309.61</v>
      </c>
      <c r="N17" s="5">
        <v>7290.19</v>
      </c>
      <c r="O17" s="5">
        <v>243.19</v>
      </c>
      <c r="P17" s="2" t="s">
        <v>73</v>
      </c>
    </row>
    <row r="18" spans="1:16" ht="15" customHeight="1" x14ac:dyDescent="0.25">
      <c r="A18" s="2" t="s">
        <v>98</v>
      </c>
      <c r="B18" s="3">
        <v>45347</v>
      </c>
      <c r="C18" s="2" t="s">
        <v>99</v>
      </c>
      <c r="D18" s="2" t="s">
        <v>100</v>
      </c>
      <c r="E18" s="2" t="s">
        <v>19</v>
      </c>
      <c r="F18" s="2" t="s">
        <v>36</v>
      </c>
      <c r="G18" s="2" t="s">
        <v>71</v>
      </c>
      <c r="H18" s="2" t="s">
        <v>72</v>
      </c>
      <c r="I18" s="2" t="s">
        <v>46</v>
      </c>
      <c r="J18" s="4">
        <v>10</v>
      </c>
      <c r="K18" s="5">
        <v>375.92</v>
      </c>
      <c r="L18" s="6">
        <v>0.15</v>
      </c>
      <c r="M18" s="5">
        <v>3195.32</v>
      </c>
      <c r="N18" s="5">
        <v>388.67</v>
      </c>
      <c r="O18" s="5">
        <v>120.37</v>
      </c>
      <c r="P18" s="2" t="s">
        <v>32</v>
      </c>
    </row>
    <row r="19" spans="1:16" ht="15" customHeight="1" x14ac:dyDescent="0.25">
      <c r="A19" s="2" t="s">
        <v>101</v>
      </c>
      <c r="B19" s="3">
        <v>45389</v>
      </c>
      <c r="C19" s="2" t="s">
        <v>102</v>
      </c>
      <c r="D19" s="2" t="s">
        <v>103</v>
      </c>
      <c r="E19" s="2" t="s">
        <v>28</v>
      </c>
      <c r="F19" s="2" t="s">
        <v>56</v>
      </c>
      <c r="G19" s="2" t="s">
        <v>50</v>
      </c>
      <c r="H19" s="2" t="s">
        <v>51</v>
      </c>
      <c r="I19" s="2" t="s">
        <v>52</v>
      </c>
      <c r="J19" s="4">
        <v>5</v>
      </c>
      <c r="K19" s="5">
        <v>397.65</v>
      </c>
      <c r="L19" s="6">
        <v>0.05</v>
      </c>
      <c r="M19" s="5">
        <v>1888.84</v>
      </c>
      <c r="N19" s="5">
        <v>794.46</v>
      </c>
      <c r="O19" s="5">
        <v>232.88</v>
      </c>
      <c r="P19" s="2" t="s">
        <v>32</v>
      </c>
    </row>
    <row r="20" spans="1:16" ht="15" customHeight="1" x14ac:dyDescent="0.25">
      <c r="A20" s="2" t="s">
        <v>104</v>
      </c>
      <c r="B20" s="3">
        <v>45327</v>
      </c>
      <c r="C20" s="2" t="s">
        <v>105</v>
      </c>
      <c r="D20" s="2" t="s">
        <v>106</v>
      </c>
      <c r="E20" s="2" t="s">
        <v>19</v>
      </c>
      <c r="F20" s="2" t="s">
        <v>107</v>
      </c>
      <c r="G20" s="2" t="s">
        <v>108</v>
      </c>
      <c r="H20" s="2" t="s">
        <v>109</v>
      </c>
      <c r="I20" s="2" t="s">
        <v>46</v>
      </c>
      <c r="J20" s="4">
        <v>11</v>
      </c>
      <c r="K20" s="5">
        <v>740.58</v>
      </c>
      <c r="L20" s="6">
        <v>0.1</v>
      </c>
      <c r="M20" s="5">
        <v>7331.74</v>
      </c>
      <c r="N20" s="5">
        <v>2211.91</v>
      </c>
      <c r="O20" s="5">
        <v>215.04</v>
      </c>
      <c r="P20" s="2" t="s">
        <v>40</v>
      </c>
    </row>
    <row r="21" spans="1:16" ht="15" customHeight="1" x14ac:dyDescent="0.25">
      <c r="A21" s="2" t="s">
        <v>110</v>
      </c>
      <c r="B21" s="3">
        <v>45459</v>
      </c>
      <c r="C21" s="2" t="s">
        <v>111</v>
      </c>
      <c r="D21" s="2" t="s">
        <v>112</v>
      </c>
      <c r="E21" s="2" t="s">
        <v>113</v>
      </c>
      <c r="F21" s="2" t="s">
        <v>36</v>
      </c>
      <c r="G21" s="2" t="s">
        <v>108</v>
      </c>
      <c r="H21" s="2" t="s">
        <v>109</v>
      </c>
      <c r="I21" s="2" t="s">
        <v>46</v>
      </c>
      <c r="J21" s="4">
        <v>7</v>
      </c>
      <c r="K21" s="5">
        <v>572.91</v>
      </c>
      <c r="L21" s="6">
        <v>0.1</v>
      </c>
      <c r="M21" s="5">
        <v>3609.33</v>
      </c>
      <c r="N21" s="5">
        <v>1276.01</v>
      </c>
      <c r="O21" s="5">
        <v>116.7</v>
      </c>
      <c r="P21" s="2" t="s">
        <v>88</v>
      </c>
    </row>
    <row r="22" spans="1:16" ht="15" customHeight="1" x14ac:dyDescent="0.25">
      <c r="A22" s="2" t="s">
        <v>114</v>
      </c>
      <c r="B22" s="3">
        <v>45446</v>
      </c>
      <c r="C22" s="2" t="s">
        <v>115</v>
      </c>
      <c r="D22" s="2" t="s">
        <v>116</v>
      </c>
      <c r="E22" s="2" t="s">
        <v>28</v>
      </c>
      <c r="F22" s="2" t="s">
        <v>107</v>
      </c>
      <c r="G22" s="2" t="s">
        <v>37</v>
      </c>
      <c r="H22" s="2" t="s">
        <v>38</v>
      </c>
      <c r="I22" s="2" t="s">
        <v>39</v>
      </c>
      <c r="J22" s="4">
        <v>7</v>
      </c>
      <c r="K22" s="5">
        <v>2920.51</v>
      </c>
      <c r="L22" s="6">
        <v>0</v>
      </c>
      <c r="M22" s="5">
        <v>20443.57</v>
      </c>
      <c r="N22" s="5">
        <v>7646.53</v>
      </c>
      <c r="O22" s="5">
        <v>68.34</v>
      </c>
      <c r="P22" s="2" t="s">
        <v>32</v>
      </c>
    </row>
    <row r="23" spans="1:16" ht="15" customHeight="1" x14ac:dyDescent="0.25">
      <c r="A23" s="2" t="s">
        <v>117</v>
      </c>
      <c r="B23" s="3">
        <v>45518</v>
      </c>
      <c r="C23" s="2" t="s">
        <v>118</v>
      </c>
      <c r="D23" s="2" t="s">
        <v>119</v>
      </c>
      <c r="E23" s="2" t="s">
        <v>28</v>
      </c>
      <c r="F23" s="2" t="s">
        <v>107</v>
      </c>
      <c r="G23" s="2" t="s">
        <v>120</v>
      </c>
      <c r="H23" s="2" t="s">
        <v>121</v>
      </c>
      <c r="I23" s="2" t="s">
        <v>46</v>
      </c>
      <c r="J23" s="4">
        <v>8</v>
      </c>
      <c r="K23" s="5">
        <v>556.72</v>
      </c>
      <c r="L23" s="6">
        <v>0.1</v>
      </c>
      <c r="M23" s="5">
        <v>4008.38</v>
      </c>
      <c r="N23" s="5">
        <v>1031.95</v>
      </c>
      <c r="O23" s="5">
        <v>227.27</v>
      </c>
      <c r="P23" s="2" t="s">
        <v>73</v>
      </c>
    </row>
    <row r="24" spans="1:16" ht="15" customHeight="1" x14ac:dyDescent="0.25">
      <c r="A24" s="2" t="s">
        <v>122</v>
      </c>
      <c r="B24" s="3">
        <v>45631</v>
      </c>
      <c r="C24" s="2" t="s">
        <v>123</v>
      </c>
      <c r="D24" s="2" t="s">
        <v>124</v>
      </c>
      <c r="E24" s="2" t="s">
        <v>113</v>
      </c>
      <c r="F24" s="2" t="s">
        <v>20</v>
      </c>
      <c r="G24" s="2" t="s">
        <v>125</v>
      </c>
      <c r="H24" s="2" t="s">
        <v>126</v>
      </c>
      <c r="I24" s="2" t="s">
        <v>46</v>
      </c>
      <c r="J24" s="4">
        <v>11</v>
      </c>
      <c r="K24" s="5">
        <v>514.45000000000005</v>
      </c>
      <c r="L24" s="6">
        <v>0</v>
      </c>
      <c r="M24" s="5">
        <v>5658.95</v>
      </c>
      <c r="N24" s="5">
        <v>1388.67</v>
      </c>
      <c r="O24" s="5">
        <v>192.76</v>
      </c>
      <c r="P24" s="2" t="s">
        <v>40</v>
      </c>
    </row>
    <row r="25" spans="1:16" ht="15" customHeight="1" x14ac:dyDescent="0.25">
      <c r="A25" s="2" t="s">
        <v>127</v>
      </c>
      <c r="B25" s="3">
        <v>45304</v>
      </c>
      <c r="C25" s="2" t="s">
        <v>128</v>
      </c>
      <c r="D25" s="2" t="s">
        <v>129</v>
      </c>
      <c r="E25" s="2" t="s">
        <v>28</v>
      </c>
      <c r="F25" s="2" t="s">
        <v>107</v>
      </c>
      <c r="G25" s="2" t="s">
        <v>86</v>
      </c>
      <c r="H25" s="2" t="s">
        <v>87</v>
      </c>
      <c r="I25" s="2" t="s">
        <v>59</v>
      </c>
      <c r="J25" s="4">
        <v>1</v>
      </c>
      <c r="K25" s="5">
        <v>3109.77</v>
      </c>
      <c r="L25" s="6">
        <v>0.05</v>
      </c>
      <c r="M25" s="5">
        <v>2954.28</v>
      </c>
      <c r="N25" s="5">
        <v>768.68</v>
      </c>
      <c r="O25" s="5">
        <v>196.75</v>
      </c>
      <c r="P25" s="2" t="s">
        <v>88</v>
      </c>
    </row>
    <row r="26" spans="1:16" ht="15" customHeight="1" x14ac:dyDescent="0.25">
      <c r="A26" s="2" t="s">
        <v>130</v>
      </c>
      <c r="B26" s="3">
        <v>45648</v>
      </c>
      <c r="C26" s="2" t="s">
        <v>131</v>
      </c>
      <c r="D26" s="2" t="s">
        <v>132</v>
      </c>
      <c r="E26" s="2" t="s">
        <v>113</v>
      </c>
      <c r="F26" s="2" t="s">
        <v>20</v>
      </c>
      <c r="G26" s="2" t="s">
        <v>133</v>
      </c>
      <c r="H26" s="2" t="s">
        <v>134</v>
      </c>
      <c r="I26" s="2" t="s">
        <v>39</v>
      </c>
      <c r="J26" s="4">
        <v>7</v>
      </c>
      <c r="K26" s="5">
        <v>2674.13</v>
      </c>
      <c r="L26" s="6">
        <v>0</v>
      </c>
      <c r="M26" s="5">
        <v>18718.91</v>
      </c>
      <c r="N26" s="5">
        <v>7732.92</v>
      </c>
      <c r="O26" s="5">
        <v>178.15</v>
      </c>
      <c r="P26" s="2" t="s">
        <v>24</v>
      </c>
    </row>
    <row r="27" spans="1:16" ht="15" customHeight="1" x14ac:dyDescent="0.25">
      <c r="A27" s="2" t="s">
        <v>135</v>
      </c>
      <c r="B27" s="3">
        <v>45648</v>
      </c>
      <c r="C27" s="2" t="s">
        <v>136</v>
      </c>
      <c r="D27" s="2" t="s">
        <v>137</v>
      </c>
      <c r="E27" s="2" t="s">
        <v>113</v>
      </c>
      <c r="F27" s="2" t="s">
        <v>29</v>
      </c>
      <c r="G27" s="2" t="s">
        <v>86</v>
      </c>
      <c r="H27" s="2" t="s">
        <v>87</v>
      </c>
      <c r="I27" s="2" t="s">
        <v>59</v>
      </c>
      <c r="J27" s="4">
        <v>9</v>
      </c>
      <c r="K27" s="5">
        <v>4823.49</v>
      </c>
      <c r="L27" s="6">
        <v>0.1</v>
      </c>
      <c r="M27" s="5">
        <v>39070.269999999997</v>
      </c>
      <c r="N27" s="5">
        <v>12489.48</v>
      </c>
      <c r="O27" s="5">
        <v>215.12</v>
      </c>
      <c r="P27" s="2" t="s">
        <v>88</v>
      </c>
    </row>
    <row r="28" spans="1:16" ht="15" customHeight="1" x14ac:dyDescent="0.25">
      <c r="A28" s="2" t="s">
        <v>138</v>
      </c>
      <c r="B28" s="3">
        <v>45578</v>
      </c>
      <c r="C28" s="2" t="s">
        <v>139</v>
      </c>
      <c r="D28" s="2" t="s">
        <v>140</v>
      </c>
      <c r="E28" s="2" t="s">
        <v>113</v>
      </c>
      <c r="F28" s="2" t="s">
        <v>20</v>
      </c>
      <c r="G28" s="2" t="s">
        <v>141</v>
      </c>
      <c r="H28" s="2" t="s">
        <v>142</v>
      </c>
      <c r="I28" s="2" t="s">
        <v>52</v>
      </c>
      <c r="J28" s="4">
        <v>10</v>
      </c>
      <c r="K28" s="5">
        <v>998.06</v>
      </c>
      <c r="L28" s="6">
        <v>0.2</v>
      </c>
      <c r="M28" s="5">
        <v>7984.48</v>
      </c>
      <c r="N28" s="5">
        <v>270.91000000000003</v>
      </c>
      <c r="O28" s="5">
        <v>160.91</v>
      </c>
      <c r="P28" s="2" t="s">
        <v>32</v>
      </c>
    </row>
    <row r="29" spans="1:16" ht="15" customHeight="1" x14ac:dyDescent="0.25">
      <c r="A29" s="2" t="s">
        <v>143</v>
      </c>
      <c r="B29" s="3">
        <v>45373</v>
      </c>
      <c r="C29" s="2" t="s">
        <v>136</v>
      </c>
      <c r="D29" s="2" t="s">
        <v>137</v>
      </c>
      <c r="E29" s="2" t="s">
        <v>113</v>
      </c>
      <c r="F29" s="2" t="s">
        <v>29</v>
      </c>
      <c r="G29" s="2" t="s">
        <v>144</v>
      </c>
      <c r="H29" s="2" t="s">
        <v>145</v>
      </c>
      <c r="I29" s="2" t="s">
        <v>39</v>
      </c>
      <c r="J29" s="4">
        <v>12</v>
      </c>
      <c r="K29" s="5">
        <v>4362.88</v>
      </c>
      <c r="L29" s="6">
        <v>0.05</v>
      </c>
      <c r="M29" s="5">
        <v>49736.83</v>
      </c>
      <c r="N29" s="5">
        <v>17549.36</v>
      </c>
      <c r="O29" s="5">
        <v>76.87</v>
      </c>
      <c r="P29" s="2" t="s">
        <v>40</v>
      </c>
    </row>
    <row r="30" spans="1:16" ht="15" customHeight="1" x14ac:dyDescent="0.25">
      <c r="A30" s="2" t="s">
        <v>146</v>
      </c>
      <c r="B30" s="3">
        <v>45432</v>
      </c>
      <c r="C30" s="2" t="s">
        <v>147</v>
      </c>
      <c r="D30" s="2" t="s">
        <v>148</v>
      </c>
      <c r="E30" s="2" t="s">
        <v>19</v>
      </c>
      <c r="F30" s="2" t="s">
        <v>36</v>
      </c>
      <c r="G30" s="2" t="s">
        <v>149</v>
      </c>
      <c r="H30" s="2" t="s">
        <v>150</v>
      </c>
      <c r="I30" s="2" t="s">
        <v>52</v>
      </c>
      <c r="J30" s="4">
        <v>8</v>
      </c>
      <c r="K30" s="5">
        <v>470.46</v>
      </c>
      <c r="L30" s="6">
        <v>0</v>
      </c>
      <c r="M30" s="5">
        <v>3763.68</v>
      </c>
      <c r="N30" s="5">
        <v>1473.02</v>
      </c>
      <c r="O30" s="5">
        <v>97.24</v>
      </c>
      <c r="P30" s="2" t="s">
        <v>32</v>
      </c>
    </row>
    <row r="31" spans="1:16" ht="15" customHeight="1" x14ac:dyDescent="0.25">
      <c r="A31" s="2" t="s">
        <v>151</v>
      </c>
      <c r="B31" s="3">
        <v>45410</v>
      </c>
      <c r="C31" s="2" t="s">
        <v>123</v>
      </c>
      <c r="D31" s="2" t="s">
        <v>124</v>
      </c>
      <c r="E31" s="2" t="s">
        <v>113</v>
      </c>
      <c r="F31" s="2" t="s">
        <v>20</v>
      </c>
      <c r="G31" s="2" t="s">
        <v>86</v>
      </c>
      <c r="H31" s="2" t="s">
        <v>87</v>
      </c>
      <c r="I31" s="2" t="s">
        <v>59</v>
      </c>
      <c r="J31" s="4">
        <v>7</v>
      </c>
      <c r="K31" s="5">
        <v>6612.81</v>
      </c>
      <c r="L31" s="6">
        <v>0.15</v>
      </c>
      <c r="M31" s="5">
        <v>39346.22</v>
      </c>
      <c r="N31" s="5">
        <v>11410.95</v>
      </c>
      <c r="O31" s="5">
        <v>115.42</v>
      </c>
      <c r="P31" s="2" t="s">
        <v>40</v>
      </c>
    </row>
    <row r="32" spans="1:16" ht="15" customHeight="1" x14ac:dyDescent="0.25">
      <c r="A32" s="2" t="s">
        <v>152</v>
      </c>
      <c r="B32" s="3">
        <v>45323</v>
      </c>
      <c r="C32" s="2" t="s">
        <v>17</v>
      </c>
      <c r="D32" s="2" t="s">
        <v>18</v>
      </c>
      <c r="E32" s="2" t="s">
        <v>19</v>
      </c>
      <c r="F32" s="2" t="s">
        <v>20</v>
      </c>
      <c r="G32" s="2" t="s">
        <v>153</v>
      </c>
      <c r="H32" s="2" t="s">
        <v>154</v>
      </c>
      <c r="I32" s="2" t="s">
        <v>52</v>
      </c>
      <c r="J32" s="4">
        <v>4</v>
      </c>
      <c r="K32" s="5">
        <v>2132.36</v>
      </c>
      <c r="L32" s="6">
        <v>0.05</v>
      </c>
      <c r="M32" s="5">
        <v>8102.97</v>
      </c>
      <c r="N32" s="5">
        <v>1482.34</v>
      </c>
      <c r="O32" s="5">
        <v>154.34</v>
      </c>
      <c r="P32" s="2" t="s">
        <v>24</v>
      </c>
    </row>
    <row r="33" spans="1:16" ht="15" customHeight="1" x14ac:dyDescent="0.25">
      <c r="A33" s="2" t="s">
        <v>155</v>
      </c>
      <c r="B33" s="3">
        <v>45295</v>
      </c>
      <c r="C33" s="2" t="s">
        <v>156</v>
      </c>
      <c r="D33" s="2" t="s">
        <v>157</v>
      </c>
      <c r="E33" s="2" t="s">
        <v>19</v>
      </c>
      <c r="F33" s="2" t="s">
        <v>36</v>
      </c>
      <c r="G33" s="2" t="s">
        <v>158</v>
      </c>
      <c r="H33" s="2" t="s">
        <v>159</v>
      </c>
      <c r="I33" s="2" t="s">
        <v>52</v>
      </c>
      <c r="J33" s="4">
        <v>6</v>
      </c>
      <c r="K33" s="5">
        <v>956.95</v>
      </c>
      <c r="L33" s="6">
        <v>0.05</v>
      </c>
      <c r="M33" s="5">
        <v>5454.62</v>
      </c>
      <c r="N33" s="5">
        <v>1071.6199999999999</v>
      </c>
      <c r="O33" s="5">
        <v>239.29</v>
      </c>
      <c r="P33" s="2" t="s">
        <v>88</v>
      </c>
    </row>
    <row r="34" spans="1:16" ht="15" customHeight="1" x14ac:dyDescent="0.25">
      <c r="A34" s="2" t="s">
        <v>160</v>
      </c>
      <c r="B34" s="3">
        <v>45404</v>
      </c>
      <c r="C34" s="2" t="s">
        <v>161</v>
      </c>
      <c r="D34" s="2" t="s">
        <v>162</v>
      </c>
      <c r="E34" s="2" t="s">
        <v>28</v>
      </c>
      <c r="F34" s="2" t="s">
        <v>36</v>
      </c>
      <c r="G34" s="2" t="s">
        <v>37</v>
      </c>
      <c r="H34" s="2" t="s">
        <v>38</v>
      </c>
      <c r="I34" s="2" t="s">
        <v>39</v>
      </c>
      <c r="J34" s="4">
        <v>8</v>
      </c>
      <c r="K34" s="5">
        <v>1409.34</v>
      </c>
      <c r="L34" s="6">
        <v>0.05</v>
      </c>
      <c r="M34" s="5">
        <v>10710.98</v>
      </c>
      <c r="N34" s="5">
        <v>3141.01</v>
      </c>
      <c r="O34" s="5">
        <v>109.44</v>
      </c>
      <c r="P34" s="2" t="s">
        <v>88</v>
      </c>
    </row>
    <row r="35" spans="1:16" ht="15" customHeight="1" x14ac:dyDescent="0.25">
      <c r="A35" s="2" t="s">
        <v>163</v>
      </c>
      <c r="B35" s="3">
        <v>45610</v>
      </c>
      <c r="C35" s="2" t="s">
        <v>164</v>
      </c>
      <c r="D35" s="2" t="s">
        <v>165</v>
      </c>
      <c r="E35" s="2" t="s">
        <v>19</v>
      </c>
      <c r="F35" s="2" t="s">
        <v>36</v>
      </c>
      <c r="G35" s="2" t="s">
        <v>166</v>
      </c>
      <c r="H35" s="2" t="s">
        <v>167</v>
      </c>
      <c r="I35" s="2" t="s">
        <v>52</v>
      </c>
      <c r="J35" s="4">
        <v>9</v>
      </c>
      <c r="K35" s="5">
        <v>359.33</v>
      </c>
      <c r="L35" s="6">
        <v>0.05</v>
      </c>
      <c r="M35" s="5">
        <v>3072.27</v>
      </c>
      <c r="N35" s="5">
        <v>815.05</v>
      </c>
      <c r="O35" s="5">
        <v>172.49</v>
      </c>
      <c r="P35" s="2" t="s">
        <v>24</v>
      </c>
    </row>
    <row r="36" spans="1:16" ht="15" customHeight="1" x14ac:dyDescent="0.25">
      <c r="A36" s="2" t="s">
        <v>168</v>
      </c>
      <c r="B36" s="3">
        <v>45385</v>
      </c>
      <c r="C36" s="2" t="s">
        <v>136</v>
      </c>
      <c r="D36" s="2" t="s">
        <v>137</v>
      </c>
      <c r="E36" s="2" t="s">
        <v>113</v>
      </c>
      <c r="F36" s="2" t="s">
        <v>29</v>
      </c>
      <c r="G36" s="2" t="s">
        <v>77</v>
      </c>
      <c r="H36" s="2" t="s">
        <v>78</v>
      </c>
      <c r="I36" s="2" t="s">
        <v>59</v>
      </c>
      <c r="J36" s="4">
        <v>1</v>
      </c>
      <c r="K36" s="5">
        <v>3229.22</v>
      </c>
      <c r="L36" s="6">
        <v>0</v>
      </c>
      <c r="M36" s="5">
        <v>3229.22</v>
      </c>
      <c r="N36" s="5">
        <v>1282.27</v>
      </c>
      <c r="O36" s="5">
        <v>95.17</v>
      </c>
      <c r="P36" s="2" t="s">
        <v>88</v>
      </c>
    </row>
    <row r="37" spans="1:16" ht="15" customHeight="1" x14ac:dyDescent="0.25">
      <c r="A37" s="2" t="s">
        <v>169</v>
      </c>
      <c r="B37" s="3">
        <v>45333</v>
      </c>
      <c r="C37" s="2" t="s">
        <v>170</v>
      </c>
      <c r="D37" s="2" t="s">
        <v>171</v>
      </c>
      <c r="E37" s="2" t="s">
        <v>28</v>
      </c>
      <c r="F37" s="2" t="s">
        <v>20</v>
      </c>
      <c r="G37" s="2" t="s">
        <v>172</v>
      </c>
      <c r="H37" s="2" t="s">
        <v>173</v>
      </c>
      <c r="I37" s="2" t="s">
        <v>52</v>
      </c>
      <c r="J37" s="4">
        <v>8</v>
      </c>
      <c r="K37" s="5">
        <v>342.64</v>
      </c>
      <c r="L37" s="6">
        <v>0.1</v>
      </c>
      <c r="M37" s="5">
        <v>2467.0100000000002</v>
      </c>
      <c r="N37" s="5">
        <v>923.7</v>
      </c>
      <c r="O37" s="5">
        <v>238.94</v>
      </c>
      <c r="P37" s="2" t="s">
        <v>73</v>
      </c>
    </row>
    <row r="38" spans="1:16" ht="15" customHeight="1" x14ac:dyDescent="0.25">
      <c r="A38" s="2" t="s">
        <v>174</v>
      </c>
      <c r="B38" s="3">
        <v>45418</v>
      </c>
      <c r="C38" s="2" t="s">
        <v>54</v>
      </c>
      <c r="D38" s="2" t="s">
        <v>55</v>
      </c>
      <c r="E38" s="2" t="s">
        <v>19</v>
      </c>
      <c r="F38" s="2" t="s">
        <v>56</v>
      </c>
      <c r="G38" s="2" t="s">
        <v>175</v>
      </c>
      <c r="H38" s="2" t="s">
        <v>176</v>
      </c>
      <c r="I38" s="2" t="s">
        <v>23</v>
      </c>
      <c r="J38" s="4">
        <v>4</v>
      </c>
      <c r="K38" s="5">
        <v>3872.99</v>
      </c>
      <c r="L38" s="6">
        <v>0.1</v>
      </c>
      <c r="M38" s="5">
        <v>13942.76</v>
      </c>
      <c r="N38" s="5">
        <v>4832.01</v>
      </c>
      <c r="O38" s="5">
        <v>49.03</v>
      </c>
      <c r="P38" s="2" t="s">
        <v>24</v>
      </c>
    </row>
    <row r="39" spans="1:16" ht="15" customHeight="1" x14ac:dyDescent="0.25">
      <c r="A39" s="2" t="s">
        <v>177</v>
      </c>
      <c r="B39" s="3">
        <v>45650</v>
      </c>
      <c r="C39" s="2" t="s">
        <v>178</v>
      </c>
      <c r="D39" s="2" t="s">
        <v>179</v>
      </c>
      <c r="E39" s="2" t="s">
        <v>19</v>
      </c>
      <c r="F39" s="2" t="s">
        <v>29</v>
      </c>
      <c r="G39" s="2" t="s">
        <v>77</v>
      </c>
      <c r="H39" s="2" t="s">
        <v>78</v>
      </c>
      <c r="I39" s="2" t="s">
        <v>59</v>
      </c>
      <c r="J39" s="4">
        <v>5</v>
      </c>
      <c r="K39" s="5">
        <v>7181.81</v>
      </c>
      <c r="L39" s="6">
        <v>0</v>
      </c>
      <c r="M39" s="5">
        <v>35909.050000000003</v>
      </c>
      <c r="N39" s="5">
        <v>10719.81</v>
      </c>
      <c r="O39" s="5">
        <v>241.66</v>
      </c>
      <c r="P39" s="2" t="s">
        <v>24</v>
      </c>
    </row>
    <row r="40" spans="1:16" ht="15" customHeight="1" x14ac:dyDescent="0.25">
      <c r="A40" s="2" t="s">
        <v>180</v>
      </c>
      <c r="B40" s="3">
        <v>45588</v>
      </c>
      <c r="C40" s="2" t="s">
        <v>181</v>
      </c>
      <c r="D40" s="2" t="s">
        <v>182</v>
      </c>
      <c r="E40" s="2" t="s">
        <v>28</v>
      </c>
      <c r="F40" s="2" t="s">
        <v>56</v>
      </c>
      <c r="G40" s="2" t="s">
        <v>183</v>
      </c>
      <c r="H40" s="2" t="s">
        <v>184</v>
      </c>
      <c r="I40" s="2" t="s">
        <v>46</v>
      </c>
      <c r="J40" s="4">
        <v>1</v>
      </c>
      <c r="K40" s="5">
        <v>746.67</v>
      </c>
      <c r="L40" s="6">
        <v>0.1</v>
      </c>
      <c r="M40" s="5">
        <v>672</v>
      </c>
      <c r="N40" s="5">
        <v>134.88999999999999</v>
      </c>
      <c r="O40" s="5">
        <v>240.38</v>
      </c>
      <c r="P40" s="2" t="s">
        <v>88</v>
      </c>
    </row>
    <row r="41" spans="1:16" ht="15" customHeight="1" x14ac:dyDescent="0.25">
      <c r="A41" s="2" t="s">
        <v>185</v>
      </c>
      <c r="B41" s="3">
        <v>45645</v>
      </c>
      <c r="C41" s="2" t="s">
        <v>105</v>
      </c>
      <c r="D41" s="2" t="s">
        <v>106</v>
      </c>
      <c r="E41" s="2" t="s">
        <v>19</v>
      </c>
      <c r="F41" s="2" t="s">
        <v>107</v>
      </c>
      <c r="G41" s="2" t="s">
        <v>186</v>
      </c>
      <c r="H41" s="2" t="s">
        <v>187</v>
      </c>
      <c r="I41" s="2" t="s">
        <v>23</v>
      </c>
      <c r="J41" s="4">
        <v>11</v>
      </c>
      <c r="K41" s="5">
        <v>1547.11</v>
      </c>
      <c r="L41" s="6">
        <v>0.15</v>
      </c>
      <c r="M41" s="5">
        <v>14465.48</v>
      </c>
      <c r="N41" s="5">
        <v>1818.9</v>
      </c>
      <c r="O41" s="5">
        <v>215.57</v>
      </c>
      <c r="P41" s="2" t="s">
        <v>32</v>
      </c>
    </row>
    <row r="42" spans="1:16" ht="15" customHeight="1" x14ac:dyDescent="0.25">
      <c r="A42" s="2" t="s">
        <v>188</v>
      </c>
      <c r="B42" s="3">
        <v>45469</v>
      </c>
      <c r="C42" s="2" t="s">
        <v>189</v>
      </c>
      <c r="D42" s="2" t="s">
        <v>182</v>
      </c>
      <c r="E42" s="2" t="s">
        <v>19</v>
      </c>
      <c r="F42" s="2" t="s">
        <v>56</v>
      </c>
      <c r="G42" s="2" t="s">
        <v>190</v>
      </c>
      <c r="H42" s="2" t="s">
        <v>191</v>
      </c>
      <c r="I42" s="2" t="s">
        <v>39</v>
      </c>
      <c r="J42" s="4">
        <v>9</v>
      </c>
      <c r="K42" s="5">
        <v>2370.54</v>
      </c>
      <c r="L42" s="6">
        <v>0</v>
      </c>
      <c r="M42" s="5">
        <v>21334.86</v>
      </c>
      <c r="N42" s="5">
        <v>9232.89</v>
      </c>
      <c r="O42" s="5">
        <v>168.93</v>
      </c>
      <c r="P42" s="2" t="s">
        <v>24</v>
      </c>
    </row>
    <row r="43" spans="1:16" ht="15" customHeight="1" x14ac:dyDescent="0.25">
      <c r="A43" s="2" t="s">
        <v>192</v>
      </c>
      <c r="B43" s="3">
        <v>45513</v>
      </c>
      <c r="C43" s="2" t="s">
        <v>131</v>
      </c>
      <c r="D43" s="2" t="s">
        <v>132</v>
      </c>
      <c r="E43" s="2" t="s">
        <v>113</v>
      </c>
      <c r="F43" s="2" t="s">
        <v>20</v>
      </c>
      <c r="G43" s="2" t="s">
        <v>193</v>
      </c>
      <c r="H43" s="2" t="s">
        <v>194</v>
      </c>
      <c r="I43" s="2" t="s">
        <v>52</v>
      </c>
      <c r="J43" s="4">
        <v>6</v>
      </c>
      <c r="K43" s="5">
        <v>1698.29</v>
      </c>
      <c r="L43" s="6">
        <v>0.2</v>
      </c>
      <c r="M43" s="5">
        <v>8151.79</v>
      </c>
      <c r="N43" s="5">
        <v>1376.28</v>
      </c>
      <c r="O43" s="5">
        <v>55.19</v>
      </c>
      <c r="P43" s="2" t="s">
        <v>73</v>
      </c>
    </row>
    <row r="44" spans="1:16" ht="15" customHeight="1" x14ac:dyDescent="0.25">
      <c r="A44" s="2" t="s">
        <v>195</v>
      </c>
      <c r="B44" s="3">
        <v>45567</v>
      </c>
      <c r="C44" s="2" t="s">
        <v>147</v>
      </c>
      <c r="D44" s="2" t="s">
        <v>148</v>
      </c>
      <c r="E44" s="2" t="s">
        <v>19</v>
      </c>
      <c r="F44" s="2" t="s">
        <v>36</v>
      </c>
      <c r="G44" s="2" t="s">
        <v>196</v>
      </c>
      <c r="H44" s="2" t="s">
        <v>197</v>
      </c>
      <c r="I44" s="2" t="s">
        <v>46</v>
      </c>
      <c r="J44" s="4">
        <v>8</v>
      </c>
      <c r="K44" s="5">
        <v>398.66</v>
      </c>
      <c r="L44" s="6">
        <v>0.2</v>
      </c>
      <c r="M44" s="5">
        <v>2551.42</v>
      </c>
      <c r="N44" s="5">
        <v>214.45</v>
      </c>
      <c r="O44" s="5">
        <v>81.73</v>
      </c>
      <c r="P44" s="2" t="s">
        <v>73</v>
      </c>
    </row>
    <row r="45" spans="1:16" ht="15" customHeight="1" x14ac:dyDescent="0.25">
      <c r="A45" s="2" t="s">
        <v>198</v>
      </c>
      <c r="B45" s="3">
        <v>45416</v>
      </c>
      <c r="C45" s="2" t="s">
        <v>199</v>
      </c>
      <c r="D45" s="2" t="s">
        <v>200</v>
      </c>
      <c r="E45" s="2" t="s">
        <v>19</v>
      </c>
      <c r="F45" s="2" t="s">
        <v>36</v>
      </c>
      <c r="G45" s="2" t="s">
        <v>120</v>
      </c>
      <c r="H45" s="2" t="s">
        <v>121</v>
      </c>
      <c r="I45" s="2" t="s">
        <v>46</v>
      </c>
      <c r="J45" s="4">
        <v>8</v>
      </c>
      <c r="K45" s="5">
        <v>477.39</v>
      </c>
      <c r="L45" s="6">
        <v>0.15</v>
      </c>
      <c r="M45" s="5">
        <v>3246.25</v>
      </c>
      <c r="N45" s="5">
        <v>783.88</v>
      </c>
      <c r="O45" s="5">
        <v>26.6</v>
      </c>
      <c r="P45" s="2" t="s">
        <v>40</v>
      </c>
    </row>
    <row r="46" spans="1:16" ht="15" customHeight="1" x14ac:dyDescent="0.25">
      <c r="A46" s="2" t="s">
        <v>201</v>
      </c>
      <c r="B46" s="3">
        <v>45473</v>
      </c>
      <c r="C46" s="2" t="s">
        <v>202</v>
      </c>
      <c r="D46" s="2" t="s">
        <v>203</v>
      </c>
      <c r="E46" s="2" t="s">
        <v>19</v>
      </c>
      <c r="F46" s="2" t="s">
        <v>56</v>
      </c>
      <c r="G46" s="2" t="s">
        <v>149</v>
      </c>
      <c r="H46" s="2" t="s">
        <v>150</v>
      </c>
      <c r="I46" s="2" t="s">
        <v>52</v>
      </c>
      <c r="J46" s="4">
        <v>5</v>
      </c>
      <c r="K46" s="5">
        <v>1048.75</v>
      </c>
      <c r="L46" s="6">
        <v>0.1</v>
      </c>
      <c r="M46" s="5">
        <v>4719.38</v>
      </c>
      <c r="N46" s="5">
        <v>916.11</v>
      </c>
      <c r="O46" s="5">
        <v>83.54</v>
      </c>
      <c r="P46" s="2" t="s">
        <v>24</v>
      </c>
    </row>
    <row r="47" spans="1:16" ht="15" customHeight="1" x14ac:dyDescent="0.25">
      <c r="A47" s="2" t="s">
        <v>204</v>
      </c>
      <c r="B47" s="3">
        <v>45415</v>
      </c>
      <c r="C47" s="2" t="s">
        <v>147</v>
      </c>
      <c r="D47" s="2" t="s">
        <v>148</v>
      </c>
      <c r="E47" s="2" t="s">
        <v>19</v>
      </c>
      <c r="F47" s="2" t="s">
        <v>36</v>
      </c>
      <c r="G47" s="2" t="s">
        <v>205</v>
      </c>
      <c r="H47" s="2" t="s">
        <v>206</v>
      </c>
      <c r="I47" s="2" t="s">
        <v>59</v>
      </c>
      <c r="J47" s="4">
        <v>12</v>
      </c>
      <c r="K47" s="5">
        <v>4370.1400000000003</v>
      </c>
      <c r="L47" s="6">
        <v>0.1</v>
      </c>
      <c r="M47" s="5">
        <v>47197.51</v>
      </c>
      <c r="N47" s="5">
        <v>8414.73</v>
      </c>
      <c r="O47" s="5">
        <v>178.84</v>
      </c>
      <c r="P47" s="2" t="s">
        <v>88</v>
      </c>
    </row>
    <row r="48" spans="1:16" ht="15" customHeight="1" x14ac:dyDescent="0.25">
      <c r="A48" s="2" t="s">
        <v>207</v>
      </c>
      <c r="B48" s="3">
        <v>45442</v>
      </c>
      <c r="C48" s="2" t="s">
        <v>208</v>
      </c>
      <c r="D48" s="2" t="s">
        <v>209</v>
      </c>
      <c r="E48" s="2" t="s">
        <v>19</v>
      </c>
      <c r="F48" s="2" t="s">
        <v>29</v>
      </c>
      <c r="G48" s="2" t="s">
        <v>210</v>
      </c>
      <c r="H48" s="2" t="s">
        <v>211</v>
      </c>
      <c r="I48" s="2" t="s">
        <v>23</v>
      </c>
      <c r="J48" s="4">
        <v>4</v>
      </c>
      <c r="K48" s="5">
        <v>2177.16</v>
      </c>
      <c r="L48" s="6">
        <v>0</v>
      </c>
      <c r="M48" s="5">
        <v>8708.64</v>
      </c>
      <c r="N48" s="5">
        <v>3252.23</v>
      </c>
      <c r="O48" s="5">
        <v>153.76</v>
      </c>
      <c r="P48" s="2" t="s">
        <v>88</v>
      </c>
    </row>
    <row r="49" spans="1:16" ht="15" customHeight="1" x14ac:dyDescent="0.25">
      <c r="A49" s="2" t="s">
        <v>212</v>
      </c>
      <c r="B49" s="3">
        <v>45509</v>
      </c>
      <c r="C49" s="2" t="s">
        <v>213</v>
      </c>
      <c r="D49" s="2" t="s">
        <v>214</v>
      </c>
      <c r="E49" s="2" t="s">
        <v>19</v>
      </c>
      <c r="F49" s="2" t="s">
        <v>36</v>
      </c>
      <c r="G49" s="2" t="s">
        <v>215</v>
      </c>
      <c r="H49" s="2" t="s">
        <v>216</v>
      </c>
      <c r="I49" s="2" t="s">
        <v>39</v>
      </c>
      <c r="J49" s="4">
        <v>12</v>
      </c>
      <c r="K49" s="5">
        <v>2931.79</v>
      </c>
      <c r="L49" s="6">
        <v>0</v>
      </c>
      <c r="M49" s="5">
        <v>35181.480000000003</v>
      </c>
      <c r="N49" s="5">
        <v>9649.7999999999993</v>
      </c>
      <c r="O49" s="5">
        <v>82.31</v>
      </c>
      <c r="P49" s="2" t="s">
        <v>40</v>
      </c>
    </row>
    <row r="50" spans="1:16" ht="15" customHeight="1" x14ac:dyDescent="0.25">
      <c r="A50" s="2" t="s">
        <v>217</v>
      </c>
      <c r="B50" s="3">
        <v>45453</v>
      </c>
      <c r="C50" s="2" t="s">
        <v>218</v>
      </c>
      <c r="D50" s="2" t="s">
        <v>219</v>
      </c>
      <c r="E50" s="2" t="s">
        <v>28</v>
      </c>
      <c r="F50" s="2" t="s">
        <v>107</v>
      </c>
      <c r="G50" s="2" t="s">
        <v>220</v>
      </c>
      <c r="H50" s="2" t="s">
        <v>221</v>
      </c>
      <c r="I50" s="2" t="s">
        <v>23</v>
      </c>
      <c r="J50" s="4">
        <v>2</v>
      </c>
      <c r="K50" s="5">
        <v>3497.24</v>
      </c>
      <c r="L50" s="6">
        <v>0.2</v>
      </c>
      <c r="M50" s="5">
        <v>5595.58</v>
      </c>
      <c r="N50" s="5">
        <v>541.78</v>
      </c>
      <c r="O50" s="5">
        <v>64.05</v>
      </c>
      <c r="P50" s="2" t="s">
        <v>88</v>
      </c>
    </row>
    <row r="51" spans="1:16" ht="15" customHeight="1" x14ac:dyDescent="0.25">
      <c r="A51" s="2" t="s">
        <v>222</v>
      </c>
      <c r="B51" s="3">
        <v>45597</v>
      </c>
      <c r="C51" s="2" t="s">
        <v>170</v>
      </c>
      <c r="D51" s="2" t="s">
        <v>171</v>
      </c>
      <c r="E51" s="2" t="s">
        <v>28</v>
      </c>
      <c r="F51" s="2" t="s">
        <v>20</v>
      </c>
      <c r="G51" s="2" t="s">
        <v>223</v>
      </c>
      <c r="H51" s="2" t="s">
        <v>224</v>
      </c>
      <c r="I51" s="2" t="s">
        <v>39</v>
      </c>
      <c r="J51" s="4">
        <v>5</v>
      </c>
      <c r="K51" s="5">
        <v>4910.3500000000004</v>
      </c>
      <c r="L51" s="6">
        <v>0.2</v>
      </c>
      <c r="M51" s="5">
        <v>19641.400000000001</v>
      </c>
      <c r="N51" s="5">
        <v>4946.46</v>
      </c>
      <c r="O51" s="5">
        <v>72.319999999999993</v>
      </c>
      <c r="P51" s="2" t="s">
        <v>73</v>
      </c>
    </row>
    <row r="52" spans="1:16" ht="15" customHeight="1" x14ac:dyDescent="0.25">
      <c r="A52" s="2" t="s">
        <v>225</v>
      </c>
      <c r="B52" s="3">
        <v>45356</v>
      </c>
      <c r="C52" s="2" t="s">
        <v>226</v>
      </c>
      <c r="D52" s="2" t="s">
        <v>227</v>
      </c>
      <c r="E52" s="2" t="s">
        <v>113</v>
      </c>
      <c r="F52" s="2" t="s">
        <v>56</v>
      </c>
      <c r="G52" s="2" t="s">
        <v>228</v>
      </c>
      <c r="H52" s="2" t="s">
        <v>229</v>
      </c>
      <c r="I52" s="2" t="s">
        <v>23</v>
      </c>
      <c r="J52" s="4">
        <v>5</v>
      </c>
      <c r="K52" s="5">
        <v>777.51</v>
      </c>
      <c r="L52" s="6">
        <v>0</v>
      </c>
      <c r="M52" s="5">
        <v>3887.55</v>
      </c>
      <c r="N52" s="5">
        <v>1211.5899999999999</v>
      </c>
      <c r="O52" s="5">
        <v>180.41</v>
      </c>
      <c r="P52" s="2" t="s">
        <v>73</v>
      </c>
    </row>
    <row r="53" spans="1:16" ht="15" customHeight="1" x14ac:dyDescent="0.25">
      <c r="A53" s="2" t="s">
        <v>230</v>
      </c>
      <c r="B53" s="3">
        <v>45585</v>
      </c>
      <c r="C53" s="2" t="s">
        <v>69</v>
      </c>
      <c r="D53" s="2" t="s">
        <v>70</v>
      </c>
      <c r="E53" s="2" t="s">
        <v>19</v>
      </c>
      <c r="F53" s="2" t="s">
        <v>36</v>
      </c>
      <c r="G53" s="2" t="s">
        <v>175</v>
      </c>
      <c r="H53" s="2" t="s">
        <v>176</v>
      </c>
      <c r="I53" s="2" t="s">
        <v>23</v>
      </c>
      <c r="J53" s="4">
        <v>5</v>
      </c>
      <c r="K53" s="5">
        <v>2430.65</v>
      </c>
      <c r="L53" s="6">
        <v>0.05</v>
      </c>
      <c r="M53" s="5">
        <v>11545.59</v>
      </c>
      <c r="N53" s="5">
        <v>3826.13</v>
      </c>
      <c r="O53" s="5">
        <v>242.06</v>
      </c>
      <c r="P53" s="2" t="s">
        <v>40</v>
      </c>
    </row>
    <row r="54" spans="1:16" ht="15" customHeight="1" x14ac:dyDescent="0.25">
      <c r="A54" s="2" t="s">
        <v>231</v>
      </c>
      <c r="B54" s="3">
        <v>45497</v>
      </c>
      <c r="C54" s="2" t="s">
        <v>232</v>
      </c>
      <c r="D54" s="2" t="s">
        <v>233</v>
      </c>
      <c r="E54" s="2" t="s">
        <v>19</v>
      </c>
      <c r="F54" s="2" t="s">
        <v>107</v>
      </c>
      <c r="G54" s="2" t="s">
        <v>210</v>
      </c>
      <c r="H54" s="2" t="s">
        <v>211</v>
      </c>
      <c r="I54" s="2" t="s">
        <v>23</v>
      </c>
      <c r="J54" s="4">
        <v>8</v>
      </c>
      <c r="K54" s="5">
        <v>888.92</v>
      </c>
      <c r="L54" s="6">
        <v>0.15</v>
      </c>
      <c r="M54" s="5">
        <v>6044.66</v>
      </c>
      <c r="N54" s="5">
        <v>913.01</v>
      </c>
      <c r="O54" s="5">
        <v>54.9</v>
      </c>
      <c r="P54" s="2" t="s">
        <v>32</v>
      </c>
    </row>
    <row r="55" spans="1:16" ht="15" customHeight="1" x14ac:dyDescent="0.25">
      <c r="A55" s="2" t="s">
        <v>234</v>
      </c>
      <c r="B55" s="3">
        <v>45352</v>
      </c>
      <c r="C55" s="2" t="s">
        <v>226</v>
      </c>
      <c r="D55" s="2" t="s">
        <v>227</v>
      </c>
      <c r="E55" s="2" t="s">
        <v>113</v>
      </c>
      <c r="F55" s="2" t="s">
        <v>56</v>
      </c>
      <c r="G55" s="2" t="s">
        <v>220</v>
      </c>
      <c r="H55" s="2" t="s">
        <v>221</v>
      </c>
      <c r="I55" s="2" t="s">
        <v>23</v>
      </c>
      <c r="J55" s="4">
        <v>9</v>
      </c>
      <c r="K55" s="5">
        <v>3581.33</v>
      </c>
      <c r="L55" s="6">
        <v>0.1</v>
      </c>
      <c r="M55" s="5">
        <v>29008.77</v>
      </c>
      <c r="N55" s="5">
        <v>6477.6</v>
      </c>
      <c r="O55" s="5">
        <v>162.24</v>
      </c>
      <c r="P55" s="2" t="s">
        <v>32</v>
      </c>
    </row>
    <row r="56" spans="1:16" ht="15" customHeight="1" x14ac:dyDescent="0.25">
      <c r="A56" s="2" t="s">
        <v>235</v>
      </c>
      <c r="B56" s="3">
        <v>45444</v>
      </c>
      <c r="C56" s="2" t="s">
        <v>236</v>
      </c>
      <c r="D56" s="2" t="s">
        <v>237</v>
      </c>
      <c r="E56" s="2" t="s">
        <v>19</v>
      </c>
      <c r="F56" s="2" t="s">
        <v>107</v>
      </c>
      <c r="G56" s="2" t="s">
        <v>158</v>
      </c>
      <c r="H56" s="2" t="s">
        <v>159</v>
      </c>
      <c r="I56" s="2" t="s">
        <v>52</v>
      </c>
      <c r="J56" s="4">
        <v>10</v>
      </c>
      <c r="K56" s="5">
        <v>2478.0700000000002</v>
      </c>
      <c r="L56" s="6">
        <v>0</v>
      </c>
      <c r="M56" s="5">
        <v>24780.7</v>
      </c>
      <c r="N56" s="5">
        <v>7628.56</v>
      </c>
      <c r="O56" s="5">
        <v>33.85</v>
      </c>
      <c r="P56" s="2" t="s">
        <v>24</v>
      </c>
    </row>
    <row r="57" spans="1:16" ht="15" customHeight="1" x14ac:dyDescent="0.25">
      <c r="A57" s="2" t="s">
        <v>238</v>
      </c>
      <c r="B57" s="3">
        <v>45630</v>
      </c>
      <c r="C57" s="2" t="s">
        <v>42</v>
      </c>
      <c r="D57" s="2" t="s">
        <v>43</v>
      </c>
      <c r="E57" s="2" t="s">
        <v>19</v>
      </c>
      <c r="F57" s="2" t="s">
        <v>36</v>
      </c>
      <c r="G57" s="2" t="s">
        <v>239</v>
      </c>
      <c r="H57" s="2" t="s">
        <v>240</v>
      </c>
      <c r="I57" s="2" t="s">
        <v>59</v>
      </c>
      <c r="J57" s="4">
        <v>2</v>
      </c>
      <c r="K57" s="5">
        <v>2425.0500000000002</v>
      </c>
      <c r="L57" s="6">
        <v>0</v>
      </c>
      <c r="M57" s="5">
        <v>4850.1000000000004</v>
      </c>
      <c r="N57" s="5">
        <v>1513.24</v>
      </c>
      <c r="O57" s="5">
        <v>56</v>
      </c>
      <c r="P57" s="2" t="s">
        <v>88</v>
      </c>
    </row>
    <row r="58" spans="1:16" ht="15" customHeight="1" x14ac:dyDescent="0.25">
      <c r="A58" s="2" t="s">
        <v>241</v>
      </c>
      <c r="B58" s="3">
        <v>45441</v>
      </c>
      <c r="C58" s="2" t="s">
        <v>208</v>
      </c>
      <c r="D58" s="2" t="s">
        <v>209</v>
      </c>
      <c r="E58" s="2" t="s">
        <v>19</v>
      </c>
      <c r="F58" s="2" t="s">
        <v>29</v>
      </c>
      <c r="G58" s="2" t="s">
        <v>144</v>
      </c>
      <c r="H58" s="2" t="s">
        <v>145</v>
      </c>
      <c r="I58" s="2" t="s">
        <v>39</v>
      </c>
      <c r="J58" s="4">
        <v>1</v>
      </c>
      <c r="K58" s="5">
        <v>1464.79</v>
      </c>
      <c r="L58" s="6">
        <v>0.15</v>
      </c>
      <c r="M58" s="5">
        <v>1245.07</v>
      </c>
      <c r="N58" s="5">
        <v>335.9</v>
      </c>
      <c r="O58" s="5">
        <v>217.71</v>
      </c>
      <c r="P58" s="2" t="s">
        <v>24</v>
      </c>
    </row>
    <row r="59" spans="1:16" ht="15" customHeight="1" x14ac:dyDescent="0.25">
      <c r="A59" s="2" t="s">
        <v>242</v>
      </c>
      <c r="B59" s="3">
        <v>45630</v>
      </c>
      <c r="C59" s="2" t="s">
        <v>218</v>
      </c>
      <c r="D59" s="2" t="s">
        <v>219</v>
      </c>
      <c r="E59" s="2" t="s">
        <v>28</v>
      </c>
      <c r="F59" s="2" t="s">
        <v>107</v>
      </c>
      <c r="G59" s="2" t="s">
        <v>196</v>
      </c>
      <c r="H59" s="2" t="s">
        <v>197</v>
      </c>
      <c r="I59" s="2" t="s">
        <v>46</v>
      </c>
      <c r="J59" s="4">
        <v>4</v>
      </c>
      <c r="K59" s="5">
        <v>368.85</v>
      </c>
      <c r="L59" s="6">
        <v>0.1</v>
      </c>
      <c r="M59" s="5">
        <v>1327.86</v>
      </c>
      <c r="N59" s="5">
        <v>433.47</v>
      </c>
      <c r="O59" s="5">
        <v>54.27</v>
      </c>
      <c r="P59" s="2" t="s">
        <v>40</v>
      </c>
    </row>
    <row r="60" spans="1:16" ht="15" customHeight="1" x14ac:dyDescent="0.25">
      <c r="A60" s="2" t="s">
        <v>243</v>
      </c>
      <c r="B60" s="3">
        <v>45376</v>
      </c>
      <c r="C60" s="2" t="s">
        <v>244</v>
      </c>
      <c r="D60" s="2" t="s">
        <v>245</v>
      </c>
      <c r="E60" s="2" t="s">
        <v>19</v>
      </c>
      <c r="F60" s="2" t="s">
        <v>20</v>
      </c>
      <c r="G60" s="2" t="s">
        <v>175</v>
      </c>
      <c r="H60" s="2" t="s">
        <v>176</v>
      </c>
      <c r="I60" s="2" t="s">
        <v>23</v>
      </c>
      <c r="J60" s="4">
        <v>5</v>
      </c>
      <c r="K60" s="5">
        <v>2920.67</v>
      </c>
      <c r="L60" s="6">
        <v>0.2</v>
      </c>
      <c r="M60" s="5">
        <v>11682.68</v>
      </c>
      <c r="N60" s="5">
        <v>1572.76</v>
      </c>
      <c r="O60" s="5">
        <v>86.38</v>
      </c>
      <c r="P60" s="2" t="s">
        <v>24</v>
      </c>
    </row>
    <row r="61" spans="1:16" ht="15" customHeight="1" x14ac:dyDescent="0.25">
      <c r="A61" s="2" t="s">
        <v>246</v>
      </c>
      <c r="B61" s="3">
        <v>45431</v>
      </c>
      <c r="C61" s="2" t="s">
        <v>247</v>
      </c>
      <c r="D61" s="2" t="s">
        <v>248</v>
      </c>
      <c r="E61" s="2" t="s">
        <v>113</v>
      </c>
      <c r="F61" s="2" t="s">
        <v>29</v>
      </c>
      <c r="G61" s="2" t="s">
        <v>108</v>
      </c>
      <c r="H61" s="2" t="s">
        <v>109</v>
      </c>
      <c r="I61" s="2" t="s">
        <v>46</v>
      </c>
      <c r="J61" s="4">
        <v>9</v>
      </c>
      <c r="K61" s="5">
        <v>454.99</v>
      </c>
      <c r="L61" s="6">
        <v>0.05</v>
      </c>
      <c r="M61" s="5">
        <v>3890.16</v>
      </c>
      <c r="N61" s="5">
        <v>1555.61</v>
      </c>
      <c r="O61" s="5">
        <v>29.17</v>
      </c>
      <c r="P61" s="2" t="s">
        <v>88</v>
      </c>
    </row>
    <row r="62" spans="1:16" ht="15" customHeight="1" x14ac:dyDescent="0.25">
      <c r="A62" s="2" t="s">
        <v>249</v>
      </c>
      <c r="B62" s="3">
        <v>45305</v>
      </c>
      <c r="C62" s="2" t="s">
        <v>250</v>
      </c>
      <c r="D62" s="2" t="s">
        <v>251</v>
      </c>
      <c r="E62" s="2" t="s">
        <v>28</v>
      </c>
      <c r="F62" s="2" t="s">
        <v>107</v>
      </c>
      <c r="G62" s="2" t="s">
        <v>61</v>
      </c>
      <c r="H62" s="2" t="s">
        <v>62</v>
      </c>
      <c r="I62" s="2" t="s">
        <v>39</v>
      </c>
      <c r="J62" s="4">
        <v>2</v>
      </c>
      <c r="K62" s="5">
        <v>1453.05</v>
      </c>
      <c r="L62" s="6">
        <v>0.15</v>
      </c>
      <c r="M62" s="5">
        <v>2470.1799999999998</v>
      </c>
      <c r="N62" s="5">
        <v>264.48</v>
      </c>
      <c r="O62" s="5">
        <v>152.30000000000001</v>
      </c>
      <c r="P62" s="2" t="s">
        <v>24</v>
      </c>
    </row>
    <row r="63" spans="1:16" ht="15" customHeight="1" x14ac:dyDescent="0.25">
      <c r="A63" s="2" t="s">
        <v>252</v>
      </c>
      <c r="B63" s="3">
        <v>45381</v>
      </c>
      <c r="C63" s="2" t="s">
        <v>253</v>
      </c>
      <c r="D63" s="2" t="s">
        <v>254</v>
      </c>
      <c r="E63" s="2" t="s">
        <v>113</v>
      </c>
      <c r="F63" s="2" t="s">
        <v>36</v>
      </c>
      <c r="G63" s="2" t="s">
        <v>190</v>
      </c>
      <c r="H63" s="2" t="s">
        <v>191</v>
      </c>
      <c r="I63" s="2" t="s">
        <v>39</v>
      </c>
      <c r="J63" s="4">
        <v>8</v>
      </c>
      <c r="K63" s="5">
        <v>2787.23</v>
      </c>
      <c r="L63" s="6">
        <v>0.05</v>
      </c>
      <c r="M63" s="5">
        <v>21182.95</v>
      </c>
      <c r="N63" s="5">
        <v>3812.53</v>
      </c>
      <c r="O63" s="5">
        <v>61.74</v>
      </c>
      <c r="P63" s="2" t="s">
        <v>32</v>
      </c>
    </row>
    <row r="64" spans="1:16" ht="15" customHeight="1" x14ac:dyDescent="0.25">
      <c r="A64" s="2" t="s">
        <v>255</v>
      </c>
      <c r="B64" s="3">
        <v>45532</v>
      </c>
      <c r="C64" s="2" t="s">
        <v>256</v>
      </c>
      <c r="D64" s="2" t="s">
        <v>49</v>
      </c>
      <c r="E64" s="2" t="s">
        <v>19</v>
      </c>
      <c r="F64" s="2" t="s">
        <v>20</v>
      </c>
      <c r="G64" s="2" t="s">
        <v>193</v>
      </c>
      <c r="H64" s="2" t="s">
        <v>194</v>
      </c>
      <c r="I64" s="2" t="s">
        <v>52</v>
      </c>
      <c r="J64" s="4">
        <v>6</v>
      </c>
      <c r="K64" s="5">
        <v>1198.3699999999999</v>
      </c>
      <c r="L64" s="6">
        <v>0</v>
      </c>
      <c r="M64" s="5">
        <v>7190.22</v>
      </c>
      <c r="N64" s="5">
        <v>2031</v>
      </c>
      <c r="O64" s="5">
        <v>217.28</v>
      </c>
      <c r="P64" s="2" t="s">
        <v>40</v>
      </c>
    </row>
    <row r="65" spans="1:16" ht="15" customHeight="1" x14ac:dyDescent="0.25">
      <c r="A65" s="2" t="s">
        <v>257</v>
      </c>
      <c r="B65" s="3">
        <v>45631</v>
      </c>
      <c r="C65" s="2" t="s">
        <v>258</v>
      </c>
      <c r="D65" s="2" t="s">
        <v>259</v>
      </c>
      <c r="E65" s="2" t="s">
        <v>28</v>
      </c>
      <c r="F65" s="2" t="s">
        <v>56</v>
      </c>
      <c r="G65" s="2" t="s">
        <v>172</v>
      </c>
      <c r="H65" s="2" t="s">
        <v>173</v>
      </c>
      <c r="I65" s="2" t="s">
        <v>52</v>
      </c>
      <c r="J65" s="4">
        <v>7</v>
      </c>
      <c r="K65" s="5">
        <v>2089.85</v>
      </c>
      <c r="L65" s="6">
        <v>0.1</v>
      </c>
      <c r="M65" s="5">
        <v>13166.05</v>
      </c>
      <c r="N65" s="5">
        <v>4985.92</v>
      </c>
      <c r="O65" s="5">
        <v>40.25</v>
      </c>
      <c r="P65" s="2" t="s">
        <v>40</v>
      </c>
    </row>
    <row r="66" spans="1:16" ht="15" customHeight="1" x14ac:dyDescent="0.25">
      <c r="A66" s="2" t="s">
        <v>260</v>
      </c>
      <c r="B66" s="3">
        <v>45555</v>
      </c>
      <c r="C66" s="2" t="s">
        <v>250</v>
      </c>
      <c r="D66" s="2" t="s">
        <v>251</v>
      </c>
      <c r="E66" s="2" t="s">
        <v>28</v>
      </c>
      <c r="F66" s="2" t="s">
        <v>107</v>
      </c>
      <c r="G66" s="2" t="s">
        <v>261</v>
      </c>
      <c r="H66" s="2" t="s">
        <v>262</v>
      </c>
      <c r="I66" s="2" t="s">
        <v>23</v>
      </c>
      <c r="J66" s="4">
        <v>1</v>
      </c>
      <c r="K66" s="5">
        <v>3164.88</v>
      </c>
      <c r="L66" s="6">
        <v>0.1</v>
      </c>
      <c r="M66" s="5">
        <v>2848.39</v>
      </c>
      <c r="N66" s="5">
        <v>742.18</v>
      </c>
      <c r="O66" s="5">
        <v>32.47</v>
      </c>
      <c r="P66" s="2" t="s">
        <v>32</v>
      </c>
    </row>
    <row r="67" spans="1:16" ht="15" customHeight="1" x14ac:dyDescent="0.25">
      <c r="A67" s="2" t="s">
        <v>263</v>
      </c>
      <c r="B67" s="3">
        <v>45612</v>
      </c>
      <c r="C67" s="2" t="s">
        <v>264</v>
      </c>
      <c r="D67" s="2" t="s">
        <v>265</v>
      </c>
      <c r="E67" s="2" t="s">
        <v>19</v>
      </c>
      <c r="F67" s="2" t="s">
        <v>29</v>
      </c>
      <c r="G67" s="2" t="s">
        <v>144</v>
      </c>
      <c r="H67" s="2" t="s">
        <v>145</v>
      </c>
      <c r="I67" s="2" t="s">
        <v>39</v>
      </c>
      <c r="J67" s="4">
        <v>8</v>
      </c>
      <c r="K67" s="5">
        <v>3895.96</v>
      </c>
      <c r="L67" s="6">
        <v>0</v>
      </c>
      <c r="M67" s="5">
        <v>31167.68</v>
      </c>
      <c r="N67" s="5">
        <v>11944.58</v>
      </c>
      <c r="O67" s="5">
        <v>50.13</v>
      </c>
      <c r="P67" s="2" t="s">
        <v>40</v>
      </c>
    </row>
    <row r="68" spans="1:16" ht="15" customHeight="1" x14ac:dyDescent="0.25">
      <c r="A68" s="2" t="s">
        <v>266</v>
      </c>
      <c r="B68" s="3">
        <v>45306</v>
      </c>
      <c r="C68" s="2" t="s">
        <v>267</v>
      </c>
      <c r="D68" s="2" t="s">
        <v>268</v>
      </c>
      <c r="E68" s="2" t="s">
        <v>28</v>
      </c>
      <c r="F68" s="2" t="s">
        <v>56</v>
      </c>
      <c r="G68" s="2" t="s">
        <v>193</v>
      </c>
      <c r="H68" s="2" t="s">
        <v>194</v>
      </c>
      <c r="I68" s="2" t="s">
        <v>52</v>
      </c>
      <c r="J68" s="4">
        <v>11</v>
      </c>
      <c r="K68" s="5">
        <v>1639.52</v>
      </c>
      <c r="L68" s="6">
        <v>0</v>
      </c>
      <c r="M68" s="5">
        <v>18034.72</v>
      </c>
      <c r="N68" s="5">
        <v>4915.4399999999996</v>
      </c>
      <c r="O68" s="5">
        <v>91.47</v>
      </c>
      <c r="P68" s="2" t="s">
        <v>24</v>
      </c>
    </row>
    <row r="69" spans="1:16" ht="15" customHeight="1" x14ac:dyDescent="0.25">
      <c r="A69" s="2" t="s">
        <v>269</v>
      </c>
      <c r="B69" s="3">
        <v>45407</v>
      </c>
      <c r="C69" s="2" t="s">
        <v>213</v>
      </c>
      <c r="D69" s="2" t="s">
        <v>214</v>
      </c>
      <c r="E69" s="2" t="s">
        <v>19</v>
      </c>
      <c r="F69" s="2" t="s">
        <v>36</v>
      </c>
      <c r="G69" s="2" t="s">
        <v>193</v>
      </c>
      <c r="H69" s="2" t="s">
        <v>194</v>
      </c>
      <c r="I69" s="2" t="s">
        <v>52</v>
      </c>
      <c r="J69" s="4">
        <v>2</v>
      </c>
      <c r="K69" s="5">
        <v>1315.19</v>
      </c>
      <c r="L69" s="6">
        <v>0</v>
      </c>
      <c r="M69" s="5">
        <v>2630.38</v>
      </c>
      <c r="N69" s="5">
        <v>757.74</v>
      </c>
      <c r="O69" s="5">
        <v>55.41</v>
      </c>
      <c r="P69" s="2" t="s">
        <v>40</v>
      </c>
    </row>
    <row r="70" spans="1:16" ht="15" customHeight="1" x14ac:dyDescent="0.25">
      <c r="A70" s="2" t="s">
        <v>270</v>
      </c>
      <c r="B70" s="3">
        <v>45539</v>
      </c>
      <c r="C70" s="2" t="s">
        <v>26</v>
      </c>
      <c r="D70" s="2" t="s">
        <v>27</v>
      </c>
      <c r="E70" s="2" t="s">
        <v>28</v>
      </c>
      <c r="F70" s="2" t="s">
        <v>29</v>
      </c>
      <c r="G70" s="2" t="s">
        <v>108</v>
      </c>
      <c r="H70" s="2" t="s">
        <v>109</v>
      </c>
      <c r="I70" s="2" t="s">
        <v>46</v>
      </c>
      <c r="J70" s="4">
        <v>8</v>
      </c>
      <c r="K70" s="5">
        <v>232.8</v>
      </c>
      <c r="L70" s="6">
        <v>0.1</v>
      </c>
      <c r="M70" s="5">
        <v>1676.16</v>
      </c>
      <c r="N70" s="5">
        <v>584.49</v>
      </c>
      <c r="O70" s="5">
        <v>63.84</v>
      </c>
      <c r="P70" s="2" t="s">
        <v>32</v>
      </c>
    </row>
    <row r="71" spans="1:16" ht="15" customHeight="1" x14ac:dyDescent="0.25">
      <c r="A71" s="2" t="s">
        <v>271</v>
      </c>
      <c r="B71" s="3">
        <v>45433</v>
      </c>
      <c r="C71" s="2" t="s">
        <v>26</v>
      </c>
      <c r="D71" s="2" t="s">
        <v>27</v>
      </c>
      <c r="E71" s="2" t="s">
        <v>28</v>
      </c>
      <c r="F71" s="2" t="s">
        <v>29</v>
      </c>
      <c r="G71" s="2" t="s">
        <v>205</v>
      </c>
      <c r="H71" s="2" t="s">
        <v>206</v>
      </c>
      <c r="I71" s="2" t="s">
        <v>59</v>
      </c>
      <c r="J71" s="4">
        <v>7</v>
      </c>
      <c r="K71" s="5">
        <v>3851.03</v>
      </c>
      <c r="L71" s="6">
        <v>0.2</v>
      </c>
      <c r="M71" s="5">
        <v>21565.77</v>
      </c>
      <c r="N71" s="5">
        <v>3317.51</v>
      </c>
      <c r="O71" s="5">
        <v>208.73</v>
      </c>
      <c r="P71" s="2" t="s">
        <v>40</v>
      </c>
    </row>
    <row r="72" spans="1:16" ht="15" customHeight="1" x14ac:dyDescent="0.25">
      <c r="A72" s="2" t="s">
        <v>272</v>
      </c>
      <c r="B72" s="3">
        <v>45629</v>
      </c>
      <c r="C72" s="2" t="s">
        <v>226</v>
      </c>
      <c r="D72" s="2" t="s">
        <v>227</v>
      </c>
      <c r="E72" s="2" t="s">
        <v>113</v>
      </c>
      <c r="F72" s="2" t="s">
        <v>56</v>
      </c>
      <c r="G72" s="2" t="s">
        <v>37</v>
      </c>
      <c r="H72" s="2" t="s">
        <v>38</v>
      </c>
      <c r="I72" s="2" t="s">
        <v>39</v>
      </c>
      <c r="J72" s="4">
        <v>8</v>
      </c>
      <c r="K72" s="5">
        <v>4380.2</v>
      </c>
      <c r="L72" s="6">
        <v>0.05</v>
      </c>
      <c r="M72" s="5">
        <v>33289.519999999997</v>
      </c>
      <c r="N72" s="5">
        <v>9298.4599999999991</v>
      </c>
      <c r="O72" s="5">
        <v>99.38</v>
      </c>
      <c r="P72" s="2" t="s">
        <v>32</v>
      </c>
    </row>
    <row r="73" spans="1:16" ht="15" customHeight="1" x14ac:dyDescent="0.25">
      <c r="A73" s="2" t="s">
        <v>273</v>
      </c>
      <c r="B73" s="3">
        <v>45456</v>
      </c>
      <c r="C73" s="2" t="s">
        <v>17</v>
      </c>
      <c r="D73" s="2" t="s">
        <v>18</v>
      </c>
      <c r="E73" s="2" t="s">
        <v>19</v>
      </c>
      <c r="F73" s="2" t="s">
        <v>20</v>
      </c>
      <c r="G73" s="2" t="s">
        <v>158</v>
      </c>
      <c r="H73" s="2" t="s">
        <v>159</v>
      </c>
      <c r="I73" s="2" t="s">
        <v>52</v>
      </c>
      <c r="J73" s="4">
        <v>4</v>
      </c>
      <c r="K73" s="5">
        <v>2457.6999999999998</v>
      </c>
      <c r="L73" s="6">
        <v>0</v>
      </c>
      <c r="M73" s="5">
        <v>9830.7999999999993</v>
      </c>
      <c r="N73" s="5">
        <v>3018.55</v>
      </c>
      <c r="O73" s="5">
        <v>73.72</v>
      </c>
      <c r="P73" s="2" t="s">
        <v>88</v>
      </c>
    </row>
    <row r="74" spans="1:16" ht="15" customHeight="1" x14ac:dyDescent="0.25">
      <c r="A74" s="2" t="s">
        <v>274</v>
      </c>
      <c r="B74" s="3">
        <v>45653</v>
      </c>
      <c r="C74" s="2" t="s">
        <v>275</v>
      </c>
      <c r="D74" s="2" t="s">
        <v>276</v>
      </c>
      <c r="E74" s="2" t="s">
        <v>19</v>
      </c>
      <c r="F74" s="2" t="s">
        <v>107</v>
      </c>
      <c r="G74" s="2" t="s">
        <v>120</v>
      </c>
      <c r="H74" s="2" t="s">
        <v>121</v>
      </c>
      <c r="I74" s="2" t="s">
        <v>46</v>
      </c>
      <c r="J74" s="4">
        <v>7</v>
      </c>
      <c r="K74" s="5">
        <v>339.56</v>
      </c>
      <c r="L74" s="6">
        <v>0.15</v>
      </c>
      <c r="M74" s="5">
        <v>2020.38</v>
      </c>
      <c r="N74" s="5">
        <v>242.21</v>
      </c>
      <c r="O74" s="5">
        <v>169.96</v>
      </c>
      <c r="P74" s="2" t="s">
        <v>73</v>
      </c>
    </row>
    <row r="75" spans="1:16" ht="15" customHeight="1" x14ac:dyDescent="0.25">
      <c r="A75" s="2" t="s">
        <v>277</v>
      </c>
      <c r="B75" s="3">
        <v>45549</v>
      </c>
      <c r="C75" s="2" t="s">
        <v>278</v>
      </c>
      <c r="D75" s="2" t="s">
        <v>279</v>
      </c>
      <c r="E75" s="2" t="s">
        <v>19</v>
      </c>
      <c r="F75" s="2" t="s">
        <v>29</v>
      </c>
      <c r="G75" s="2" t="s">
        <v>30</v>
      </c>
      <c r="H75" s="2" t="s">
        <v>31</v>
      </c>
      <c r="I75" s="2" t="s">
        <v>23</v>
      </c>
      <c r="J75" s="4">
        <v>10</v>
      </c>
      <c r="K75" s="5">
        <v>1894.78</v>
      </c>
      <c r="L75" s="6">
        <v>0</v>
      </c>
      <c r="M75" s="5">
        <v>18947.8</v>
      </c>
      <c r="N75" s="5">
        <v>4385.51</v>
      </c>
      <c r="O75" s="5">
        <v>121.27</v>
      </c>
      <c r="P75" s="2" t="s">
        <v>32</v>
      </c>
    </row>
    <row r="76" spans="1:16" ht="15" customHeight="1" x14ac:dyDescent="0.25">
      <c r="A76" s="2" t="s">
        <v>280</v>
      </c>
      <c r="B76" s="3">
        <v>45501</v>
      </c>
      <c r="C76" s="2" t="s">
        <v>281</v>
      </c>
      <c r="D76" s="2" t="s">
        <v>282</v>
      </c>
      <c r="E76" s="2" t="s">
        <v>19</v>
      </c>
      <c r="F76" s="2" t="s">
        <v>29</v>
      </c>
      <c r="G76" s="2" t="s">
        <v>30</v>
      </c>
      <c r="H76" s="2" t="s">
        <v>31</v>
      </c>
      <c r="I76" s="2" t="s">
        <v>23</v>
      </c>
      <c r="J76" s="4">
        <v>11</v>
      </c>
      <c r="K76" s="5">
        <v>4382.83</v>
      </c>
      <c r="L76" s="6">
        <v>0</v>
      </c>
      <c r="M76" s="5">
        <v>48211.13</v>
      </c>
      <c r="N76" s="5">
        <v>16036.34</v>
      </c>
      <c r="O76" s="5">
        <v>242.92</v>
      </c>
      <c r="P76" s="2" t="s">
        <v>40</v>
      </c>
    </row>
    <row r="77" spans="1:16" ht="15" customHeight="1" x14ac:dyDescent="0.25">
      <c r="A77" s="2" t="s">
        <v>283</v>
      </c>
      <c r="B77" s="3">
        <v>45460</v>
      </c>
      <c r="C77" s="2" t="s">
        <v>284</v>
      </c>
      <c r="D77" s="2" t="s">
        <v>285</v>
      </c>
      <c r="E77" s="2" t="s">
        <v>19</v>
      </c>
      <c r="F77" s="2" t="s">
        <v>107</v>
      </c>
      <c r="G77" s="2" t="s">
        <v>193</v>
      </c>
      <c r="H77" s="2" t="s">
        <v>194</v>
      </c>
      <c r="I77" s="2" t="s">
        <v>52</v>
      </c>
      <c r="J77" s="4">
        <v>11</v>
      </c>
      <c r="K77" s="5">
        <v>2190.5500000000002</v>
      </c>
      <c r="L77" s="6">
        <v>0.05</v>
      </c>
      <c r="M77" s="5">
        <v>22891.25</v>
      </c>
      <c r="N77" s="5">
        <v>3890.67</v>
      </c>
      <c r="O77" s="5">
        <v>164.16</v>
      </c>
      <c r="P77" s="2" t="s">
        <v>88</v>
      </c>
    </row>
    <row r="78" spans="1:16" ht="15" customHeight="1" x14ac:dyDescent="0.25">
      <c r="A78" s="2" t="s">
        <v>286</v>
      </c>
      <c r="B78" s="3">
        <v>45327</v>
      </c>
      <c r="C78" s="2" t="s">
        <v>17</v>
      </c>
      <c r="D78" s="2" t="s">
        <v>18</v>
      </c>
      <c r="E78" s="2" t="s">
        <v>19</v>
      </c>
      <c r="F78" s="2" t="s">
        <v>20</v>
      </c>
      <c r="G78" s="2" t="s">
        <v>186</v>
      </c>
      <c r="H78" s="2" t="s">
        <v>187</v>
      </c>
      <c r="I78" s="2" t="s">
        <v>23</v>
      </c>
      <c r="J78" s="4">
        <v>4</v>
      </c>
      <c r="K78" s="5">
        <v>3061.53</v>
      </c>
      <c r="L78" s="6">
        <v>0</v>
      </c>
      <c r="M78" s="5">
        <v>12246.12</v>
      </c>
      <c r="N78" s="5">
        <v>2457.1</v>
      </c>
      <c r="O78" s="5">
        <v>191.76</v>
      </c>
      <c r="P78" s="2" t="s">
        <v>88</v>
      </c>
    </row>
    <row r="79" spans="1:16" ht="15" customHeight="1" x14ac:dyDescent="0.25">
      <c r="A79" s="2" t="s">
        <v>287</v>
      </c>
      <c r="B79" s="3">
        <v>45377</v>
      </c>
      <c r="C79" s="2" t="s">
        <v>288</v>
      </c>
      <c r="D79" s="2" t="s">
        <v>289</v>
      </c>
      <c r="E79" s="2" t="s">
        <v>113</v>
      </c>
      <c r="F79" s="2" t="s">
        <v>29</v>
      </c>
      <c r="G79" s="2" t="s">
        <v>290</v>
      </c>
      <c r="H79" s="2" t="s">
        <v>291</v>
      </c>
      <c r="I79" s="2" t="s">
        <v>23</v>
      </c>
      <c r="J79" s="4">
        <v>12</v>
      </c>
      <c r="K79" s="5">
        <v>1767.92</v>
      </c>
      <c r="L79" s="6">
        <v>0</v>
      </c>
      <c r="M79" s="5">
        <v>21215.040000000001</v>
      </c>
      <c r="N79" s="5">
        <v>9302.84</v>
      </c>
      <c r="O79" s="5">
        <v>203.11</v>
      </c>
      <c r="P79" s="2" t="s">
        <v>40</v>
      </c>
    </row>
    <row r="80" spans="1:16" ht="15" customHeight="1" x14ac:dyDescent="0.25">
      <c r="A80" s="2" t="s">
        <v>292</v>
      </c>
      <c r="B80" s="3">
        <v>45366</v>
      </c>
      <c r="C80" s="2" t="s">
        <v>81</v>
      </c>
      <c r="D80" s="2" t="s">
        <v>82</v>
      </c>
      <c r="E80" s="2" t="s">
        <v>19</v>
      </c>
      <c r="F80" s="2" t="s">
        <v>20</v>
      </c>
      <c r="G80" s="2" t="s">
        <v>108</v>
      </c>
      <c r="H80" s="2" t="s">
        <v>109</v>
      </c>
      <c r="I80" s="2" t="s">
        <v>46</v>
      </c>
      <c r="J80" s="4">
        <v>4</v>
      </c>
      <c r="K80" s="5">
        <v>448.37</v>
      </c>
      <c r="L80" s="6">
        <v>0.1</v>
      </c>
      <c r="M80" s="5">
        <v>1614.13</v>
      </c>
      <c r="N80" s="5">
        <v>322.02</v>
      </c>
      <c r="O80" s="5">
        <v>61.41</v>
      </c>
      <c r="P80" s="2" t="s">
        <v>73</v>
      </c>
    </row>
    <row r="81" spans="1:16" ht="15" customHeight="1" x14ac:dyDescent="0.25">
      <c r="A81" s="2" t="s">
        <v>293</v>
      </c>
      <c r="B81" s="3">
        <v>45609</v>
      </c>
      <c r="C81" s="2" t="s">
        <v>123</v>
      </c>
      <c r="D81" s="2" t="s">
        <v>124</v>
      </c>
      <c r="E81" s="2" t="s">
        <v>113</v>
      </c>
      <c r="F81" s="2" t="s">
        <v>20</v>
      </c>
      <c r="G81" s="2" t="s">
        <v>96</v>
      </c>
      <c r="H81" s="2" t="s">
        <v>97</v>
      </c>
      <c r="I81" s="2" t="s">
        <v>39</v>
      </c>
      <c r="J81" s="4">
        <v>11</v>
      </c>
      <c r="K81" s="5">
        <v>1507.82</v>
      </c>
      <c r="L81" s="6">
        <v>0.1</v>
      </c>
      <c r="M81" s="5">
        <v>14927.42</v>
      </c>
      <c r="N81" s="5">
        <v>5211.67</v>
      </c>
      <c r="O81" s="5">
        <v>126.06</v>
      </c>
      <c r="P81" s="2" t="s">
        <v>40</v>
      </c>
    </row>
    <row r="82" spans="1:16" ht="15" customHeight="1" x14ac:dyDescent="0.25">
      <c r="A82" s="2" t="s">
        <v>294</v>
      </c>
      <c r="B82" s="3">
        <v>45530</v>
      </c>
      <c r="C82" s="2" t="s">
        <v>281</v>
      </c>
      <c r="D82" s="2" t="s">
        <v>282</v>
      </c>
      <c r="E82" s="2" t="s">
        <v>19</v>
      </c>
      <c r="F82" s="2" t="s">
        <v>29</v>
      </c>
      <c r="G82" s="2" t="s">
        <v>71</v>
      </c>
      <c r="H82" s="2" t="s">
        <v>72</v>
      </c>
      <c r="I82" s="2" t="s">
        <v>46</v>
      </c>
      <c r="J82" s="4">
        <v>5</v>
      </c>
      <c r="K82" s="5">
        <v>558.21</v>
      </c>
      <c r="L82" s="6">
        <v>0</v>
      </c>
      <c r="M82" s="5">
        <v>2791.05</v>
      </c>
      <c r="N82" s="5">
        <v>1204.43</v>
      </c>
      <c r="O82" s="5">
        <v>237.4</v>
      </c>
      <c r="P82" s="2" t="s">
        <v>32</v>
      </c>
    </row>
    <row r="83" spans="1:16" ht="15" customHeight="1" x14ac:dyDescent="0.25">
      <c r="A83" s="2" t="s">
        <v>295</v>
      </c>
      <c r="B83" s="3">
        <v>45525</v>
      </c>
      <c r="C83" s="2" t="s">
        <v>226</v>
      </c>
      <c r="D83" s="2" t="s">
        <v>227</v>
      </c>
      <c r="E83" s="2" t="s">
        <v>113</v>
      </c>
      <c r="F83" s="2" t="s">
        <v>56</v>
      </c>
      <c r="G83" s="2" t="s">
        <v>172</v>
      </c>
      <c r="H83" s="2" t="s">
        <v>173</v>
      </c>
      <c r="I83" s="2" t="s">
        <v>52</v>
      </c>
      <c r="J83" s="4">
        <v>5</v>
      </c>
      <c r="K83" s="5">
        <v>738.28</v>
      </c>
      <c r="L83" s="6">
        <v>0.05</v>
      </c>
      <c r="M83" s="5">
        <v>3506.83</v>
      </c>
      <c r="N83" s="5">
        <v>689.06</v>
      </c>
      <c r="O83" s="5">
        <v>44.53</v>
      </c>
      <c r="P83" s="2" t="s">
        <v>88</v>
      </c>
    </row>
    <row r="84" spans="1:16" ht="15" customHeight="1" x14ac:dyDescent="0.25">
      <c r="A84" s="2" t="s">
        <v>296</v>
      </c>
      <c r="B84" s="3">
        <v>45443</v>
      </c>
      <c r="C84" s="2" t="s">
        <v>156</v>
      </c>
      <c r="D84" s="2" t="s">
        <v>157</v>
      </c>
      <c r="E84" s="2" t="s">
        <v>19</v>
      </c>
      <c r="F84" s="2" t="s">
        <v>36</v>
      </c>
      <c r="G84" s="2" t="s">
        <v>196</v>
      </c>
      <c r="H84" s="2" t="s">
        <v>197</v>
      </c>
      <c r="I84" s="2" t="s">
        <v>46</v>
      </c>
      <c r="J84" s="4">
        <v>12</v>
      </c>
      <c r="K84" s="5">
        <v>271.42</v>
      </c>
      <c r="L84" s="6">
        <v>0.2</v>
      </c>
      <c r="M84" s="5">
        <v>2605.63</v>
      </c>
      <c r="N84" s="5">
        <v>278.29000000000002</v>
      </c>
      <c r="O84" s="5">
        <v>83.13</v>
      </c>
      <c r="P84" s="2" t="s">
        <v>32</v>
      </c>
    </row>
    <row r="85" spans="1:16" ht="15" customHeight="1" x14ac:dyDescent="0.25">
      <c r="A85" s="2" t="s">
        <v>297</v>
      </c>
      <c r="B85" s="3">
        <v>45438</v>
      </c>
      <c r="C85" s="2" t="s">
        <v>298</v>
      </c>
      <c r="D85" s="2" t="s">
        <v>299</v>
      </c>
      <c r="E85" s="2" t="s">
        <v>113</v>
      </c>
      <c r="F85" s="2" t="s">
        <v>107</v>
      </c>
      <c r="G85" s="2" t="s">
        <v>144</v>
      </c>
      <c r="H85" s="2" t="s">
        <v>145</v>
      </c>
      <c r="I85" s="2" t="s">
        <v>39</v>
      </c>
      <c r="J85" s="4">
        <v>4</v>
      </c>
      <c r="K85" s="5">
        <v>3192.5</v>
      </c>
      <c r="L85" s="6">
        <v>0</v>
      </c>
      <c r="M85" s="5">
        <v>12770</v>
      </c>
      <c r="N85" s="5">
        <v>5047.33</v>
      </c>
      <c r="O85" s="5">
        <v>63.73</v>
      </c>
      <c r="P85" s="2" t="s">
        <v>40</v>
      </c>
    </row>
    <row r="86" spans="1:16" ht="15" customHeight="1" x14ac:dyDescent="0.25">
      <c r="A86" s="2" t="s">
        <v>300</v>
      </c>
      <c r="B86" s="3">
        <v>45450</v>
      </c>
      <c r="C86" s="2" t="s">
        <v>139</v>
      </c>
      <c r="D86" s="2" t="s">
        <v>140</v>
      </c>
      <c r="E86" s="2" t="s">
        <v>113</v>
      </c>
      <c r="F86" s="2" t="s">
        <v>20</v>
      </c>
      <c r="G86" s="2" t="s">
        <v>175</v>
      </c>
      <c r="H86" s="2" t="s">
        <v>176</v>
      </c>
      <c r="I86" s="2" t="s">
        <v>23</v>
      </c>
      <c r="J86" s="4">
        <v>8</v>
      </c>
      <c r="K86" s="5">
        <v>730.12</v>
      </c>
      <c r="L86" s="6">
        <v>0</v>
      </c>
      <c r="M86" s="5">
        <v>5840.96</v>
      </c>
      <c r="N86" s="5">
        <v>1559.01</v>
      </c>
      <c r="O86" s="5">
        <v>40.729999999999997</v>
      </c>
      <c r="P86" s="2" t="s">
        <v>40</v>
      </c>
    </row>
    <row r="87" spans="1:16" ht="15" customHeight="1" x14ac:dyDescent="0.25">
      <c r="A87" s="2" t="s">
        <v>301</v>
      </c>
      <c r="B87" s="3">
        <v>45394</v>
      </c>
      <c r="C87" s="2" t="s">
        <v>250</v>
      </c>
      <c r="D87" s="2" t="s">
        <v>251</v>
      </c>
      <c r="E87" s="2" t="s">
        <v>28</v>
      </c>
      <c r="F87" s="2" t="s">
        <v>107</v>
      </c>
      <c r="G87" s="2" t="s">
        <v>166</v>
      </c>
      <c r="H87" s="2" t="s">
        <v>167</v>
      </c>
      <c r="I87" s="2" t="s">
        <v>52</v>
      </c>
      <c r="J87" s="4">
        <v>3</v>
      </c>
      <c r="K87" s="5">
        <v>2030.33</v>
      </c>
      <c r="L87" s="6">
        <v>0</v>
      </c>
      <c r="M87" s="5">
        <v>6090.99</v>
      </c>
      <c r="N87" s="5">
        <v>1932.59</v>
      </c>
      <c r="O87" s="5">
        <v>230.1</v>
      </c>
      <c r="P87" s="2" t="s">
        <v>73</v>
      </c>
    </row>
    <row r="88" spans="1:16" ht="15" customHeight="1" x14ac:dyDescent="0.25">
      <c r="A88" s="2" t="s">
        <v>302</v>
      </c>
      <c r="B88" s="3">
        <v>45465</v>
      </c>
      <c r="C88" s="2" t="s">
        <v>303</v>
      </c>
      <c r="D88" s="2" t="s">
        <v>304</v>
      </c>
      <c r="E88" s="2" t="s">
        <v>19</v>
      </c>
      <c r="F88" s="2" t="s">
        <v>56</v>
      </c>
      <c r="G88" s="2" t="s">
        <v>172</v>
      </c>
      <c r="H88" s="2" t="s">
        <v>173</v>
      </c>
      <c r="I88" s="2" t="s">
        <v>52</v>
      </c>
      <c r="J88" s="4">
        <v>2</v>
      </c>
      <c r="K88" s="5">
        <v>1330.33</v>
      </c>
      <c r="L88" s="6">
        <v>0</v>
      </c>
      <c r="M88" s="5">
        <v>2660.66</v>
      </c>
      <c r="N88" s="5">
        <v>1103.67</v>
      </c>
      <c r="O88" s="5">
        <v>242.3</v>
      </c>
      <c r="P88" s="2" t="s">
        <v>88</v>
      </c>
    </row>
    <row r="89" spans="1:16" ht="15" customHeight="1" x14ac:dyDescent="0.25">
      <c r="A89" s="2" t="s">
        <v>305</v>
      </c>
      <c r="B89" s="3">
        <v>45494</v>
      </c>
      <c r="C89" s="2" t="s">
        <v>306</v>
      </c>
      <c r="D89" s="2" t="s">
        <v>307</v>
      </c>
      <c r="E89" s="2" t="s">
        <v>19</v>
      </c>
      <c r="F89" s="2" t="s">
        <v>29</v>
      </c>
      <c r="G89" s="2" t="s">
        <v>183</v>
      </c>
      <c r="H89" s="2" t="s">
        <v>184</v>
      </c>
      <c r="I89" s="2" t="s">
        <v>46</v>
      </c>
      <c r="J89" s="4">
        <v>1</v>
      </c>
      <c r="K89" s="5">
        <v>248.34</v>
      </c>
      <c r="L89" s="6">
        <v>0</v>
      </c>
      <c r="M89" s="5">
        <v>248.34</v>
      </c>
      <c r="N89" s="5">
        <v>83.52</v>
      </c>
      <c r="O89" s="5">
        <v>174.75</v>
      </c>
      <c r="P89" s="2" t="s">
        <v>40</v>
      </c>
    </row>
    <row r="90" spans="1:16" ht="15" customHeight="1" x14ac:dyDescent="0.25">
      <c r="A90" s="2" t="s">
        <v>308</v>
      </c>
      <c r="B90" s="3">
        <v>45347</v>
      </c>
      <c r="C90" s="2" t="s">
        <v>99</v>
      </c>
      <c r="D90" s="2" t="s">
        <v>100</v>
      </c>
      <c r="E90" s="2" t="s">
        <v>19</v>
      </c>
      <c r="F90" s="2" t="s">
        <v>36</v>
      </c>
      <c r="G90" s="2" t="s">
        <v>309</v>
      </c>
      <c r="H90" s="2" t="s">
        <v>310</v>
      </c>
      <c r="I90" s="2" t="s">
        <v>52</v>
      </c>
      <c r="J90" s="4">
        <v>11</v>
      </c>
      <c r="K90" s="5">
        <v>814.41</v>
      </c>
      <c r="L90" s="6">
        <v>0</v>
      </c>
      <c r="M90" s="5">
        <v>8958.51</v>
      </c>
      <c r="N90" s="5">
        <v>2643.78</v>
      </c>
      <c r="O90" s="5">
        <v>236.93</v>
      </c>
      <c r="P90" s="2" t="s">
        <v>40</v>
      </c>
    </row>
    <row r="91" spans="1:16" ht="15" customHeight="1" x14ac:dyDescent="0.25">
      <c r="A91" s="2" t="s">
        <v>311</v>
      </c>
      <c r="B91" s="3">
        <v>45617</v>
      </c>
      <c r="C91" s="2" t="s">
        <v>312</v>
      </c>
      <c r="D91" s="2" t="s">
        <v>313</v>
      </c>
      <c r="E91" s="2" t="s">
        <v>19</v>
      </c>
      <c r="F91" s="2" t="s">
        <v>56</v>
      </c>
      <c r="G91" s="2" t="s">
        <v>205</v>
      </c>
      <c r="H91" s="2" t="s">
        <v>206</v>
      </c>
      <c r="I91" s="2" t="s">
        <v>59</v>
      </c>
      <c r="J91" s="4">
        <v>8</v>
      </c>
      <c r="K91" s="5">
        <v>8293.2199999999993</v>
      </c>
      <c r="L91" s="6">
        <v>0</v>
      </c>
      <c r="M91" s="5">
        <v>66345.759999999995</v>
      </c>
      <c r="N91" s="5">
        <v>19087.02</v>
      </c>
      <c r="O91" s="5">
        <v>46.84</v>
      </c>
      <c r="P91" s="2" t="s">
        <v>24</v>
      </c>
    </row>
    <row r="92" spans="1:16" ht="15" customHeight="1" x14ac:dyDescent="0.25">
      <c r="A92" s="2" t="s">
        <v>314</v>
      </c>
      <c r="B92" s="3">
        <v>45351</v>
      </c>
      <c r="C92" s="2" t="s">
        <v>315</v>
      </c>
      <c r="D92" s="2" t="s">
        <v>316</v>
      </c>
      <c r="E92" s="2" t="s">
        <v>28</v>
      </c>
      <c r="F92" s="2" t="s">
        <v>107</v>
      </c>
      <c r="G92" s="2" t="s">
        <v>120</v>
      </c>
      <c r="H92" s="2" t="s">
        <v>121</v>
      </c>
      <c r="I92" s="2" t="s">
        <v>46</v>
      </c>
      <c r="J92" s="4">
        <v>2</v>
      </c>
      <c r="K92" s="5">
        <v>226.1</v>
      </c>
      <c r="L92" s="6">
        <v>0.1</v>
      </c>
      <c r="M92" s="5">
        <v>406.98</v>
      </c>
      <c r="N92" s="5">
        <v>142.93</v>
      </c>
      <c r="O92" s="5">
        <v>124.34</v>
      </c>
      <c r="P92" s="2" t="s">
        <v>32</v>
      </c>
    </row>
    <row r="93" spans="1:16" ht="15" customHeight="1" x14ac:dyDescent="0.25">
      <c r="A93" s="2" t="s">
        <v>317</v>
      </c>
      <c r="B93" s="3">
        <v>45504</v>
      </c>
      <c r="C93" s="2" t="s">
        <v>131</v>
      </c>
      <c r="D93" s="2" t="s">
        <v>132</v>
      </c>
      <c r="E93" s="2" t="s">
        <v>113</v>
      </c>
      <c r="F93" s="2" t="s">
        <v>20</v>
      </c>
      <c r="G93" s="2" t="s">
        <v>318</v>
      </c>
      <c r="H93" s="2" t="s">
        <v>319</v>
      </c>
      <c r="I93" s="2" t="s">
        <v>39</v>
      </c>
      <c r="J93" s="4">
        <v>11</v>
      </c>
      <c r="K93" s="5">
        <v>855.5</v>
      </c>
      <c r="L93" s="6">
        <v>0.05</v>
      </c>
      <c r="M93" s="5">
        <v>8939.98</v>
      </c>
      <c r="N93" s="5">
        <v>2315.81</v>
      </c>
      <c r="O93" s="5">
        <v>235.98</v>
      </c>
      <c r="P93" s="2" t="s">
        <v>40</v>
      </c>
    </row>
    <row r="94" spans="1:16" ht="15" customHeight="1" x14ac:dyDescent="0.25">
      <c r="A94" s="2" t="s">
        <v>320</v>
      </c>
      <c r="B94" s="3">
        <v>45519</v>
      </c>
      <c r="C94" s="2" t="s">
        <v>315</v>
      </c>
      <c r="D94" s="2" t="s">
        <v>316</v>
      </c>
      <c r="E94" s="2" t="s">
        <v>28</v>
      </c>
      <c r="F94" s="2" t="s">
        <v>107</v>
      </c>
      <c r="G94" s="2" t="s">
        <v>44</v>
      </c>
      <c r="H94" s="2" t="s">
        <v>45</v>
      </c>
      <c r="I94" s="2" t="s">
        <v>46</v>
      </c>
      <c r="J94" s="4">
        <v>8</v>
      </c>
      <c r="K94" s="5">
        <v>762.92</v>
      </c>
      <c r="L94" s="6">
        <v>0.2</v>
      </c>
      <c r="M94" s="5">
        <v>4882.6899999999996</v>
      </c>
      <c r="N94" s="5">
        <v>972.44</v>
      </c>
      <c r="O94" s="5">
        <v>245.61</v>
      </c>
      <c r="P94" s="2" t="s">
        <v>40</v>
      </c>
    </row>
    <row r="95" spans="1:16" ht="15" customHeight="1" x14ac:dyDescent="0.25">
      <c r="A95" s="2" t="s">
        <v>321</v>
      </c>
      <c r="B95" s="3">
        <v>45495</v>
      </c>
      <c r="C95" s="2" t="s">
        <v>17</v>
      </c>
      <c r="D95" s="2" t="s">
        <v>18</v>
      </c>
      <c r="E95" s="2" t="s">
        <v>19</v>
      </c>
      <c r="F95" s="2" t="s">
        <v>20</v>
      </c>
      <c r="G95" s="2" t="s">
        <v>71</v>
      </c>
      <c r="H95" s="2" t="s">
        <v>72</v>
      </c>
      <c r="I95" s="2" t="s">
        <v>46</v>
      </c>
      <c r="J95" s="4">
        <v>5</v>
      </c>
      <c r="K95" s="5">
        <v>192.36</v>
      </c>
      <c r="L95" s="6">
        <v>0</v>
      </c>
      <c r="M95" s="5">
        <v>961.8</v>
      </c>
      <c r="N95" s="5">
        <v>204.62</v>
      </c>
      <c r="O95" s="5">
        <v>209.56</v>
      </c>
      <c r="P95" s="2" t="s">
        <v>24</v>
      </c>
    </row>
    <row r="96" spans="1:16" ht="15" customHeight="1" x14ac:dyDescent="0.25">
      <c r="A96" s="2" t="s">
        <v>322</v>
      </c>
      <c r="B96" s="3">
        <v>45317</v>
      </c>
      <c r="C96" s="2" t="s">
        <v>323</v>
      </c>
      <c r="D96" s="2" t="s">
        <v>324</v>
      </c>
      <c r="E96" s="2" t="s">
        <v>19</v>
      </c>
      <c r="F96" s="2" t="s">
        <v>20</v>
      </c>
      <c r="G96" s="2" t="s">
        <v>190</v>
      </c>
      <c r="H96" s="2" t="s">
        <v>191</v>
      </c>
      <c r="I96" s="2" t="s">
        <v>39</v>
      </c>
      <c r="J96" s="4">
        <v>6</v>
      </c>
      <c r="K96" s="5">
        <v>1520.42</v>
      </c>
      <c r="L96" s="6">
        <v>0</v>
      </c>
      <c r="M96" s="5">
        <v>9122.52</v>
      </c>
      <c r="N96" s="5">
        <v>2310.33</v>
      </c>
      <c r="O96" s="5">
        <v>67.2</v>
      </c>
      <c r="P96" s="2" t="s">
        <v>32</v>
      </c>
    </row>
    <row r="97" spans="1:16" ht="15" customHeight="1" x14ac:dyDescent="0.25">
      <c r="A97" s="2" t="s">
        <v>325</v>
      </c>
      <c r="B97" s="3">
        <v>45411</v>
      </c>
      <c r="C97" s="2" t="s">
        <v>42</v>
      </c>
      <c r="D97" s="2" t="s">
        <v>43</v>
      </c>
      <c r="E97" s="2" t="s">
        <v>19</v>
      </c>
      <c r="F97" s="2" t="s">
        <v>36</v>
      </c>
      <c r="G97" s="2" t="s">
        <v>133</v>
      </c>
      <c r="H97" s="2" t="s">
        <v>134</v>
      </c>
      <c r="I97" s="2" t="s">
        <v>39</v>
      </c>
      <c r="J97" s="4">
        <v>6</v>
      </c>
      <c r="K97" s="5">
        <v>3962.1</v>
      </c>
      <c r="L97" s="6">
        <v>0.2</v>
      </c>
      <c r="M97" s="5">
        <v>19018.080000000002</v>
      </c>
      <c r="N97" s="5">
        <v>591.16</v>
      </c>
      <c r="O97" s="5">
        <v>20.65</v>
      </c>
      <c r="P97" s="2" t="s">
        <v>73</v>
      </c>
    </row>
    <row r="98" spans="1:16" ht="15" customHeight="1" x14ac:dyDescent="0.25">
      <c r="A98" s="2" t="s">
        <v>326</v>
      </c>
      <c r="B98" s="3">
        <v>45381</v>
      </c>
      <c r="C98" s="2" t="s">
        <v>327</v>
      </c>
      <c r="D98" s="2" t="s">
        <v>328</v>
      </c>
      <c r="E98" s="2" t="s">
        <v>19</v>
      </c>
      <c r="F98" s="2" t="s">
        <v>56</v>
      </c>
      <c r="G98" s="2" t="s">
        <v>61</v>
      </c>
      <c r="H98" s="2" t="s">
        <v>62</v>
      </c>
      <c r="I98" s="2" t="s">
        <v>39</v>
      </c>
      <c r="J98" s="4">
        <v>2</v>
      </c>
      <c r="K98" s="5">
        <v>3440.87</v>
      </c>
      <c r="L98" s="6">
        <v>0</v>
      </c>
      <c r="M98" s="5">
        <v>6881.74</v>
      </c>
      <c r="N98" s="5">
        <v>2870.02</v>
      </c>
      <c r="O98" s="5">
        <v>102.4</v>
      </c>
      <c r="P98" s="2" t="s">
        <v>73</v>
      </c>
    </row>
    <row r="99" spans="1:16" ht="15" customHeight="1" x14ac:dyDescent="0.25">
      <c r="A99" s="2" t="s">
        <v>329</v>
      </c>
      <c r="B99" s="3">
        <v>45381</v>
      </c>
      <c r="C99" s="2" t="s">
        <v>330</v>
      </c>
      <c r="D99" s="2" t="s">
        <v>248</v>
      </c>
      <c r="E99" s="2" t="s">
        <v>19</v>
      </c>
      <c r="F99" s="2" t="s">
        <v>36</v>
      </c>
      <c r="G99" s="2" t="s">
        <v>71</v>
      </c>
      <c r="H99" s="2" t="s">
        <v>72</v>
      </c>
      <c r="I99" s="2" t="s">
        <v>46</v>
      </c>
      <c r="J99" s="4">
        <v>5</v>
      </c>
      <c r="K99" s="5">
        <v>89.3</v>
      </c>
      <c r="L99" s="6">
        <v>0.15</v>
      </c>
      <c r="M99" s="5">
        <v>379.52</v>
      </c>
      <c r="N99" s="5">
        <v>86.96</v>
      </c>
      <c r="O99" s="5">
        <v>46.14</v>
      </c>
      <c r="P99" s="2" t="s">
        <v>24</v>
      </c>
    </row>
    <row r="100" spans="1:16" ht="15" customHeight="1" x14ac:dyDescent="0.25">
      <c r="A100" s="2" t="s">
        <v>331</v>
      </c>
      <c r="B100" s="3">
        <v>45554</v>
      </c>
      <c r="C100" s="2" t="s">
        <v>332</v>
      </c>
      <c r="D100" s="2" t="s">
        <v>333</v>
      </c>
      <c r="E100" s="2" t="s">
        <v>113</v>
      </c>
      <c r="F100" s="2" t="s">
        <v>36</v>
      </c>
      <c r="G100" s="2" t="s">
        <v>309</v>
      </c>
      <c r="H100" s="2" t="s">
        <v>310</v>
      </c>
      <c r="I100" s="2" t="s">
        <v>52</v>
      </c>
      <c r="J100" s="4">
        <v>10</v>
      </c>
      <c r="K100" s="5">
        <v>539.91999999999996</v>
      </c>
      <c r="L100" s="6">
        <v>0.1</v>
      </c>
      <c r="M100" s="5">
        <v>4859.28</v>
      </c>
      <c r="N100" s="5">
        <v>1590.67</v>
      </c>
      <c r="O100" s="5">
        <v>161.47</v>
      </c>
      <c r="P100" s="2" t="s">
        <v>32</v>
      </c>
    </row>
    <row r="101" spans="1:16" ht="15" customHeight="1" x14ac:dyDescent="0.25">
      <c r="A101" s="2" t="s">
        <v>334</v>
      </c>
      <c r="B101" s="3">
        <v>45323</v>
      </c>
      <c r="C101" s="2" t="s">
        <v>226</v>
      </c>
      <c r="D101" s="2" t="s">
        <v>227</v>
      </c>
      <c r="E101" s="2" t="s">
        <v>113</v>
      </c>
      <c r="F101" s="2" t="s">
        <v>56</v>
      </c>
      <c r="G101" s="2" t="s">
        <v>335</v>
      </c>
      <c r="H101" s="2" t="s">
        <v>336</v>
      </c>
      <c r="I101" s="2" t="s">
        <v>52</v>
      </c>
      <c r="J101" s="4">
        <v>8</v>
      </c>
      <c r="K101" s="5">
        <v>2164.06</v>
      </c>
      <c r="L101" s="6">
        <v>0.05</v>
      </c>
      <c r="M101" s="5">
        <v>16446.86</v>
      </c>
      <c r="N101" s="5">
        <v>3955.48</v>
      </c>
      <c r="O101" s="5">
        <v>132.76</v>
      </c>
      <c r="P101" s="2" t="s">
        <v>88</v>
      </c>
    </row>
    <row r="102" spans="1:16" ht="15" customHeight="1" x14ac:dyDescent="0.25">
      <c r="A102" s="2" t="s">
        <v>337</v>
      </c>
      <c r="B102" s="3">
        <v>45603</v>
      </c>
      <c r="C102" s="2" t="s">
        <v>338</v>
      </c>
      <c r="D102" s="2" t="s">
        <v>339</v>
      </c>
      <c r="E102" s="2" t="s">
        <v>19</v>
      </c>
      <c r="F102" s="2" t="s">
        <v>29</v>
      </c>
      <c r="G102" s="2" t="s">
        <v>21</v>
      </c>
      <c r="H102" s="2" t="s">
        <v>22</v>
      </c>
      <c r="I102" s="2" t="s">
        <v>23</v>
      </c>
      <c r="J102" s="4">
        <v>3</v>
      </c>
      <c r="K102" s="5">
        <v>856.16</v>
      </c>
      <c r="L102" s="6">
        <v>0</v>
      </c>
      <c r="M102" s="5">
        <v>2568.48</v>
      </c>
      <c r="N102" s="5">
        <v>754.93</v>
      </c>
      <c r="O102" s="5">
        <v>154.63</v>
      </c>
      <c r="P102" s="2" t="s">
        <v>40</v>
      </c>
    </row>
    <row r="103" spans="1:16" ht="15" customHeight="1" x14ac:dyDescent="0.25">
      <c r="A103" s="2" t="s">
        <v>340</v>
      </c>
      <c r="B103" s="3">
        <v>45442</v>
      </c>
      <c r="C103" s="2" t="s">
        <v>236</v>
      </c>
      <c r="D103" s="2" t="s">
        <v>237</v>
      </c>
      <c r="E103" s="2" t="s">
        <v>19</v>
      </c>
      <c r="F103" s="2" t="s">
        <v>107</v>
      </c>
      <c r="G103" s="2" t="s">
        <v>223</v>
      </c>
      <c r="H103" s="2" t="s">
        <v>224</v>
      </c>
      <c r="I103" s="2" t="s">
        <v>39</v>
      </c>
      <c r="J103" s="4">
        <v>8</v>
      </c>
      <c r="K103" s="5">
        <v>2725.53</v>
      </c>
      <c r="L103" s="6">
        <v>0.05</v>
      </c>
      <c r="M103" s="5">
        <v>20714.03</v>
      </c>
      <c r="N103" s="5">
        <v>8181.07</v>
      </c>
      <c r="O103" s="5">
        <v>181.41</v>
      </c>
      <c r="P103" s="2" t="s">
        <v>32</v>
      </c>
    </row>
    <row r="104" spans="1:16" ht="15" customHeight="1" x14ac:dyDescent="0.25">
      <c r="A104" s="2" t="s">
        <v>341</v>
      </c>
      <c r="B104" s="3">
        <v>45408</v>
      </c>
      <c r="C104" s="2" t="s">
        <v>323</v>
      </c>
      <c r="D104" s="2" t="s">
        <v>324</v>
      </c>
      <c r="E104" s="2" t="s">
        <v>19</v>
      </c>
      <c r="F104" s="2" t="s">
        <v>20</v>
      </c>
      <c r="G104" s="2" t="s">
        <v>158</v>
      </c>
      <c r="H104" s="2" t="s">
        <v>159</v>
      </c>
      <c r="I104" s="2" t="s">
        <v>52</v>
      </c>
      <c r="J104" s="4">
        <v>7</v>
      </c>
      <c r="K104" s="5">
        <v>1045.6500000000001</v>
      </c>
      <c r="L104" s="6">
        <v>0.05</v>
      </c>
      <c r="M104" s="5">
        <v>6953.57</v>
      </c>
      <c r="N104" s="5">
        <v>2198.19</v>
      </c>
      <c r="O104" s="5">
        <v>187.81</v>
      </c>
      <c r="P104" s="2" t="s">
        <v>40</v>
      </c>
    </row>
    <row r="105" spans="1:16" ht="15" customHeight="1" x14ac:dyDescent="0.25">
      <c r="A105" s="2" t="s">
        <v>342</v>
      </c>
      <c r="B105" s="3">
        <v>45483</v>
      </c>
      <c r="C105" s="2" t="s">
        <v>136</v>
      </c>
      <c r="D105" s="2" t="s">
        <v>137</v>
      </c>
      <c r="E105" s="2" t="s">
        <v>113</v>
      </c>
      <c r="F105" s="2" t="s">
        <v>29</v>
      </c>
      <c r="G105" s="2" t="s">
        <v>66</v>
      </c>
      <c r="H105" s="2" t="s">
        <v>67</v>
      </c>
      <c r="I105" s="2" t="s">
        <v>46</v>
      </c>
      <c r="J105" s="4">
        <v>3</v>
      </c>
      <c r="K105" s="5">
        <v>565.12</v>
      </c>
      <c r="L105" s="6">
        <v>0.05</v>
      </c>
      <c r="M105" s="5">
        <v>1610.59</v>
      </c>
      <c r="N105" s="5">
        <v>649.69000000000005</v>
      </c>
      <c r="O105" s="5">
        <v>211.31</v>
      </c>
      <c r="P105" s="2" t="s">
        <v>24</v>
      </c>
    </row>
    <row r="106" spans="1:16" ht="15" customHeight="1" x14ac:dyDescent="0.25">
      <c r="A106" s="2" t="s">
        <v>343</v>
      </c>
      <c r="B106" s="3">
        <v>45358</v>
      </c>
      <c r="C106" s="2" t="s">
        <v>256</v>
      </c>
      <c r="D106" s="2" t="s">
        <v>49</v>
      </c>
      <c r="E106" s="2" t="s">
        <v>19</v>
      </c>
      <c r="F106" s="2" t="s">
        <v>20</v>
      </c>
      <c r="G106" s="2" t="s">
        <v>21</v>
      </c>
      <c r="H106" s="2" t="s">
        <v>22</v>
      </c>
      <c r="I106" s="2" t="s">
        <v>23</v>
      </c>
      <c r="J106" s="4">
        <v>9</v>
      </c>
      <c r="K106" s="5">
        <v>833.93</v>
      </c>
      <c r="L106" s="6">
        <v>0.1</v>
      </c>
      <c r="M106" s="5">
        <v>6754.83</v>
      </c>
      <c r="N106" s="5">
        <v>1572.97</v>
      </c>
      <c r="O106" s="5">
        <v>174.1</v>
      </c>
      <c r="P106" s="2" t="s">
        <v>88</v>
      </c>
    </row>
    <row r="107" spans="1:16" ht="15" customHeight="1" x14ac:dyDescent="0.25">
      <c r="A107" s="2" t="s">
        <v>344</v>
      </c>
      <c r="B107" s="3">
        <v>45439</v>
      </c>
      <c r="C107" s="2" t="s">
        <v>81</v>
      </c>
      <c r="D107" s="2" t="s">
        <v>82</v>
      </c>
      <c r="E107" s="2" t="s">
        <v>19</v>
      </c>
      <c r="F107" s="2" t="s">
        <v>20</v>
      </c>
      <c r="G107" s="2" t="s">
        <v>335</v>
      </c>
      <c r="H107" s="2" t="s">
        <v>336</v>
      </c>
      <c r="I107" s="2" t="s">
        <v>52</v>
      </c>
      <c r="J107" s="4">
        <v>10</v>
      </c>
      <c r="K107" s="5">
        <v>987.39</v>
      </c>
      <c r="L107" s="6">
        <v>0</v>
      </c>
      <c r="M107" s="5">
        <v>9873.9</v>
      </c>
      <c r="N107" s="5">
        <v>3016.68</v>
      </c>
      <c r="O107" s="5">
        <v>68.930000000000007</v>
      </c>
      <c r="P107" s="2" t="s">
        <v>88</v>
      </c>
    </row>
    <row r="108" spans="1:16" ht="15" customHeight="1" x14ac:dyDescent="0.25">
      <c r="A108" s="2" t="s">
        <v>345</v>
      </c>
      <c r="B108" s="3">
        <v>45576</v>
      </c>
      <c r="C108" s="2" t="s">
        <v>128</v>
      </c>
      <c r="D108" s="2" t="s">
        <v>129</v>
      </c>
      <c r="E108" s="2" t="s">
        <v>28</v>
      </c>
      <c r="F108" s="2" t="s">
        <v>107</v>
      </c>
      <c r="G108" s="2" t="s">
        <v>21</v>
      </c>
      <c r="H108" s="2" t="s">
        <v>22</v>
      </c>
      <c r="I108" s="2" t="s">
        <v>23</v>
      </c>
      <c r="J108" s="4">
        <v>6</v>
      </c>
      <c r="K108" s="5">
        <v>1048.05</v>
      </c>
      <c r="L108" s="6">
        <v>0</v>
      </c>
      <c r="M108" s="5">
        <v>6288.3</v>
      </c>
      <c r="N108" s="5">
        <v>1927.21</v>
      </c>
      <c r="O108" s="5">
        <v>205.66</v>
      </c>
      <c r="P108" s="2" t="s">
        <v>32</v>
      </c>
    </row>
    <row r="109" spans="1:16" ht="15" customHeight="1" x14ac:dyDescent="0.25">
      <c r="A109" s="2" t="s">
        <v>346</v>
      </c>
      <c r="B109" s="3">
        <v>45305</v>
      </c>
      <c r="C109" s="2" t="s">
        <v>284</v>
      </c>
      <c r="D109" s="2" t="s">
        <v>285</v>
      </c>
      <c r="E109" s="2" t="s">
        <v>19</v>
      </c>
      <c r="F109" s="2" t="s">
        <v>107</v>
      </c>
      <c r="G109" s="2" t="s">
        <v>223</v>
      </c>
      <c r="H109" s="2" t="s">
        <v>224</v>
      </c>
      <c r="I109" s="2" t="s">
        <v>39</v>
      </c>
      <c r="J109" s="4">
        <v>10</v>
      </c>
      <c r="K109" s="5">
        <v>4673.79</v>
      </c>
      <c r="L109" s="6">
        <v>0.2</v>
      </c>
      <c r="M109" s="5">
        <v>37390.32</v>
      </c>
      <c r="N109" s="5">
        <v>3581.63</v>
      </c>
      <c r="O109" s="5">
        <v>26.66</v>
      </c>
      <c r="P109" s="2" t="s">
        <v>40</v>
      </c>
    </row>
    <row r="110" spans="1:16" ht="15" customHeight="1" x14ac:dyDescent="0.25">
      <c r="A110" s="2" t="s">
        <v>347</v>
      </c>
      <c r="B110" s="3">
        <v>45295</v>
      </c>
      <c r="C110" s="2" t="s">
        <v>348</v>
      </c>
      <c r="D110" s="2" t="s">
        <v>349</v>
      </c>
      <c r="E110" s="2" t="s">
        <v>28</v>
      </c>
      <c r="F110" s="2" t="s">
        <v>20</v>
      </c>
      <c r="G110" s="2" t="s">
        <v>350</v>
      </c>
      <c r="H110" s="2" t="s">
        <v>351</v>
      </c>
      <c r="I110" s="2" t="s">
        <v>46</v>
      </c>
      <c r="J110" s="4">
        <v>3</v>
      </c>
      <c r="K110" s="5">
        <v>702.4</v>
      </c>
      <c r="L110" s="6">
        <v>0.1</v>
      </c>
      <c r="M110" s="5">
        <v>1896.48</v>
      </c>
      <c r="N110" s="5">
        <v>391.23</v>
      </c>
      <c r="O110" s="5">
        <v>36</v>
      </c>
      <c r="P110" s="2" t="s">
        <v>24</v>
      </c>
    </row>
    <row r="111" spans="1:16" ht="15" customHeight="1" x14ac:dyDescent="0.25">
      <c r="A111" s="2" t="s">
        <v>352</v>
      </c>
      <c r="B111" s="3">
        <v>45484</v>
      </c>
      <c r="C111" s="2" t="s">
        <v>199</v>
      </c>
      <c r="D111" s="2" t="s">
        <v>200</v>
      </c>
      <c r="E111" s="2" t="s">
        <v>19</v>
      </c>
      <c r="F111" s="2" t="s">
        <v>36</v>
      </c>
      <c r="G111" s="2" t="s">
        <v>133</v>
      </c>
      <c r="H111" s="2" t="s">
        <v>134</v>
      </c>
      <c r="I111" s="2" t="s">
        <v>39</v>
      </c>
      <c r="J111" s="4">
        <v>7</v>
      </c>
      <c r="K111" s="5">
        <v>2486.77</v>
      </c>
      <c r="L111" s="6">
        <v>0</v>
      </c>
      <c r="M111" s="5">
        <v>17407.39</v>
      </c>
      <c r="N111" s="5">
        <v>6222.91</v>
      </c>
      <c r="O111" s="5">
        <v>185.97</v>
      </c>
      <c r="P111" s="2" t="s">
        <v>32</v>
      </c>
    </row>
    <row r="112" spans="1:16" ht="15" customHeight="1" x14ac:dyDescent="0.25">
      <c r="A112" s="2" t="s">
        <v>353</v>
      </c>
      <c r="B112" s="3">
        <v>45371</v>
      </c>
      <c r="C112" s="2" t="s">
        <v>354</v>
      </c>
      <c r="D112" s="2" t="s">
        <v>355</v>
      </c>
      <c r="E112" s="2" t="s">
        <v>113</v>
      </c>
      <c r="F112" s="2" t="s">
        <v>36</v>
      </c>
      <c r="G112" s="2" t="s">
        <v>175</v>
      </c>
      <c r="H112" s="2" t="s">
        <v>176</v>
      </c>
      <c r="I112" s="2" t="s">
        <v>23</v>
      </c>
      <c r="J112" s="4">
        <v>3</v>
      </c>
      <c r="K112" s="5">
        <v>3542.3</v>
      </c>
      <c r="L112" s="6">
        <v>0</v>
      </c>
      <c r="M112" s="5">
        <v>10626.9</v>
      </c>
      <c r="N112" s="5">
        <v>2991.56</v>
      </c>
      <c r="O112" s="5">
        <v>82.58</v>
      </c>
      <c r="P112" s="2" t="s">
        <v>88</v>
      </c>
    </row>
    <row r="113" spans="1:16" ht="15" customHeight="1" x14ac:dyDescent="0.25">
      <c r="A113" s="2" t="s">
        <v>356</v>
      </c>
      <c r="B113" s="3">
        <v>45504</v>
      </c>
      <c r="C113" s="2" t="s">
        <v>69</v>
      </c>
      <c r="D113" s="2" t="s">
        <v>70</v>
      </c>
      <c r="E113" s="2" t="s">
        <v>19</v>
      </c>
      <c r="F113" s="2" t="s">
        <v>36</v>
      </c>
      <c r="G113" s="2" t="s">
        <v>144</v>
      </c>
      <c r="H113" s="2" t="s">
        <v>145</v>
      </c>
      <c r="I113" s="2" t="s">
        <v>39</v>
      </c>
      <c r="J113" s="4">
        <v>5</v>
      </c>
      <c r="K113" s="5">
        <v>1391.62</v>
      </c>
      <c r="L113" s="6">
        <v>0.1</v>
      </c>
      <c r="M113" s="5">
        <v>6262.29</v>
      </c>
      <c r="N113" s="5">
        <v>2237.35</v>
      </c>
      <c r="O113" s="5">
        <v>118.88</v>
      </c>
      <c r="P113" s="2" t="s">
        <v>40</v>
      </c>
    </row>
    <row r="114" spans="1:16" ht="15" customHeight="1" x14ac:dyDescent="0.25">
      <c r="A114" s="2" t="s">
        <v>357</v>
      </c>
      <c r="B114" s="3">
        <v>45633</v>
      </c>
      <c r="C114" s="2" t="s">
        <v>330</v>
      </c>
      <c r="D114" s="2" t="s">
        <v>248</v>
      </c>
      <c r="E114" s="2" t="s">
        <v>19</v>
      </c>
      <c r="F114" s="2" t="s">
        <v>36</v>
      </c>
      <c r="G114" s="2" t="s">
        <v>141</v>
      </c>
      <c r="H114" s="2" t="s">
        <v>142</v>
      </c>
      <c r="I114" s="2" t="s">
        <v>52</v>
      </c>
      <c r="J114" s="4">
        <v>5</v>
      </c>
      <c r="K114" s="5">
        <v>399.92</v>
      </c>
      <c r="L114" s="6">
        <v>0.05</v>
      </c>
      <c r="M114" s="5">
        <v>1899.62</v>
      </c>
      <c r="N114" s="5">
        <v>307.72000000000003</v>
      </c>
      <c r="O114" s="5">
        <v>32.6</v>
      </c>
      <c r="P114" s="2" t="s">
        <v>73</v>
      </c>
    </row>
    <row r="115" spans="1:16" ht="15" customHeight="1" x14ac:dyDescent="0.25">
      <c r="A115" s="2" t="s">
        <v>358</v>
      </c>
      <c r="B115" s="3">
        <v>45422</v>
      </c>
      <c r="C115" s="2" t="s">
        <v>226</v>
      </c>
      <c r="D115" s="2" t="s">
        <v>227</v>
      </c>
      <c r="E115" s="2" t="s">
        <v>113</v>
      </c>
      <c r="F115" s="2" t="s">
        <v>56</v>
      </c>
      <c r="G115" s="2" t="s">
        <v>86</v>
      </c>
      <c r="H115" s="2" t="s">
        <v>87</v>
      </c>
      <c r="I115" s="2" t="s">
        <v>59</v>
      </c>
      <c r="J115" s="4">
        <v>5</v>
      </c>
      <c r="K115" s="5">
        <v>3759.35</v>
      </c>
      <c r="L115" s="6">
        <v>0</v>
      </c>
      <c r="M115" s="5">
        <v>18796.75</v>
      </c>
      <c r="N115" s="5">
        <v>6121.23</v>
      </c>
      <c r="O115" s="5">
        <v>119.05</v>
      </c>
      <c r="P115" s="2" t="s">
        <v>73</v>
      </c>
    </row>
    <row r="116" spans="1:16" ht="15" customHeight="1" x14ac:dyDescent="0.25">
      <c r="A116" s="2" t="s">
        <v>359</v>
      </c>
      <c r="B116" s="3">
        <v>45548</v>
      </c>
      <c r="C116" s="2" t="s">
        <v>236</v>
      </c>
      <c r="D116" s="2" t="s">
        <v>237</v>
      </c>
      <c r="E116" s="2" t="s">
        <v>19</v>
      </c>
      <c r="F116" s="2" t="s">
        <v>107</v>
      </c>
      <c r="G116" s="2" t="s">
        <v>133</v>
      </c>
      <c r="H116" s="2" t="s">
        <v>134</v>
      </c>
      <c r="I116" s="2" t="s">
        <v>39</v>
      </c>
      <c r="J116" s="4">
        <v>9</v>
      </c>
      <c r="K116" s="5">
        <v>4233.43</v>
      </c>
      <c r="L116" s="6">
        <v>0.2</v>
      </c>
      <c r="M116" s="5">
        <v>30480.7</v>
      </c>
      <c r="N116" s="5">
        <v>6151.7</v>
      </c>
      <c r="O116" s="5">
        <v>111.33</v>
      </c>
      <c r="P116" s="2" t="s">
        <v>24</v>
      </c>
    </row>
    <row r="117" spans="1:16" ht="15" customHeight="1" x14ac:dyDescent="0.25">
      <c r="A117" s="2" t="s">
        <v>360</v>
      </c>
      <c r="B117" s="3">
        <v>45331</v>
      </c>
      <c r="C117" s="2" t="s">
        <v>256</v>
      </c>
      <c r="D117" s="2" t="s">
        <v>49</v>
      </c>
      <c r="E117" s="2" t="s">
        <v>19</v>
      </c>
      <c r="F117" s="2" t="s">
        <v>20</v>
      </c>
      <c r="G117" s="2" t="s">
        <v>290</v>
      </c>
      <c r="H117" s="2" t="s">
        <v>291</v>
      </c>
      <c r="I117" s="2" t="s">
        <v>23</v>
      </c>
      <c r="J117" s="4">
        <v>6</v>
      </c>
      <c r="K117" s="5">
        <v>2845.46</v>
      </c>
      <c r="L117" s="6">
        <v>0.1</v>
      </c>
      <c r="M117" s="5">
        <v>15365.48</v>
      </c>
      <c r="N117" s="5">
        <v>4249.3100000000004</v>
      </c>
      <c r="O117" s="5">
        <v>167.23</v>
      </c>
      <c r="P117" s="2" t="s">
        <v>40</v>
      </c>
    </row>
    <row r="118" spans="1:16" ht="15" customHeight="1" x14ac:dyDescent="0.25">
      <c r="A118" s="2" t="s">
        <v>361</v>
      </c>
      <c r="B118" s="3">
        <v>45458</v>
      </c>
      <c r="C118" s="2" t="s">
        <v>102</v>
      </c>
      <c r="D118" s="2" t="s">
        <v>103</v>
      </c>
      <c r="E118" s="2" t="s">
        <v>28</v>
      </c>
      <c r="F118" s="2" t="s">
        <v>56</v>
      </c>
      <c r="G118" s="2" t="s">
        <v>335</v>
      </c>
      <c r="H118" s="2" t="s">
        <v>336</v>
      </c>
      <c r="I118" s="2" t="s">
        <v>52</v>
      </c>
      <c r="J118" s="4">
        <v>3</v>
      </c>
      <c r="K118" s="5">
        <v>2062.91</v>
      </c>
      <c r="L118" s="6">
        <v>0.1</v>
      </c>
      <c r="M118" s="5">
        <v>5569.86</v>
      </c>
      <c r="N118" s="5">
        <v>1454.2</v>
      </c>
      <c r="O118" s="5">
        <v>178.61</v>
      </c>
      <c r="P118" s="2" t="s">
        <v>40</v>
      </c>
    </row>
    <row r="119" spans="1:16" ht="15" customHeight="1" x14ac:dyDescent="0.25">
      <c r="A119" s="2" t="s">
        <v>362</v>
      </c>
      <c r="B119" s="3">
        <v>45416</v>
      </c>
      <c r="C119" s="2" t="s">
        <v>199</v>
      </c>
      <c r="D119" s="2" t="s">
        <v>200</v>
      </c>
      <c r="E119" s="2" t="s">
        <v>19</v>
      </c>
      <c r="F119" s="2" t="s">
        <v>36</v>
      </c>
      <c r="G119" s="2" t="s">
        <v>193</v>
      </c>
      <c r="H119" s="2" t="s">
        <v>194</v>
      </c>
      <c r="I119" s="2" t="s">
        <v>52</v>
      </c>
      <c r="J119" s="4">
        <v>7</v>
      </c>
      <c r="K119" s="5">
        <v>1595.52</v>
      </c>
      <c r="L119" s="6">
        <v>0.1</v>
      </c>
      <c r="M119" s="5">
        <v>10051.780000000001</v>
      </c>
      <c r="N119" s="5">
        <v>3689.43</v>
      </c>
      <c r="O119" s="5">
        <v>220.22</v>
      </c>
      <c r="P119" s="2" t="s">
        <v>40</v>
      </c>
    </row>
    <row r="120" spans="1:16" ht="15" customHeight="1" x14ac:dyDescent="0.25">
      <c r="A120" s="2" t="s">
        <v>363</v>
      </c>
      <c r="B120" s="3">
        <v>45331</v>
      </c>
      <c r="C120" s="2" t="s">
        <v>128</v>
      </c>
      <c r="D120" s="2" t="s">
        <v>129</v>
      </c>
      <c r="E120" s="2" t="s">
        <v>28</v>
      </c>
      <c r="F120" s="2" t="s">
        <v>107</v>
      </c>
      <c r="G120" s="2" t="s">
        <v>90</v>
      </c>
      <c r="H120" s="2" t="s">
        <v>91</v>
      </c>
      <c r="I120" s="2" t="s">
        <v>46</v>
      </c>
      <c r="J120" s="4">
        <v>9</v>
      </c>
      <c r="K120" s="5">
        <v>524.91999999999996</v>
      </c>
      <c r="L120" s="6">
        <v>0.1</v>
      </c>
      <c r="M120" s="5">
        <v>4251.8500000000004</v>
      </c>
      <c r="N120" s="5">
        <v>1051.21</v>
      </c>
      <c r="O120" s="5">
        <v>228.36</v>
      </c>
      <c r="P120" s="2" t="s">
        <v>40</v>
      </c>
    </row>
    <row r="121" spans="1:16" ht="15" customHeight="1" x14ac:dyDescent="0.25">
      <c r="A121" s="2" t="s">
        <v>364</v>
      </c>
      <c r="B121" s="3">
        <v>45344</v>
      </c>
      <c r="C121" s="2" t="s">
        <v>93</v>
      </c>
      <c r="D121" s="2" t="s">
        <v>94</v>
      </c>
      <c r="E121" s="2" t="s">
        <v>28</v>
      </c>
      <c r="F121" s="2" t="s">
        <v>20</v>
      </c>
      <c r="G121" s="2" t="s">
        <v>83</v>
      </c>
      <c r="H121" s="2" t="s">
        <v>84</v>
      </c>
      <c r="I121" s="2" t="s">
        <v>59</v>
      </c>
      <c r="J121" s="4">
        <v>3</v>
      </c>
      <c r="K121" s="5">
        <v>3196.55</v>
      </c>
      <c r="L121" s="6">
        <v>0</v>
      </c>
      <c r="M121" s="5">
        <v>9589.65</v>
      </c>
      <c r="N121" s="5">
        <v>2871.14</v>
      </c>
      <c r="O121" s="5">
        <v>194.85</v>
      </c>
      <c r="P121" s="2" t="s">
        <v>24</v>
      </c>
    </row>
    <row r="122" spans="1:16" ht="15" customHeight="1" x14ac:dyDescent="0.25">
      <c r="A122" s="2" t="s">
        <v>365</v>
      </c>
      <c r="B122" s="3">
        <v>45580</v>
      </c>
      <c r="C122" s="2" t="s">
        <v>115</v>
      </c>
      <c r="D122" s="2" t="s">
        <v>116</v>
      </c>
      <c r="E122" s="2" t="s">
        <v>28</v>
      </c>
      <c r="F122" s="2" t="s">
        <v>107</v>
      </c>
      <c r="G122" s="2" t="s">
        <v>158</v>
      </c>
      <c r="H122" s="2" t="s">
        <v>159</v>
      </c>
      <c r="I122" s="2" t="s">
        <v>52</v>
      </c>
      <c r="J122" s="4">
        <v>10</v>
      </c>
      <c r="K122" s="5">
        <v>1287.5899999999999</v>
      </c>
      <c r="L122" s="6">
        <v>0.1</v>
      </c>
      <c r="M122" s="5">
        <v>11588.31</v>
      </c>
      <c r="N122" s="5">
        <v>2436.79</v>
      </c>
      <c r="O122" s="5">
        <v>246.9</v>
      </c>
      <c r="P122" s="2" t="s">
        <v>40</v>
      </c>
    </row>
    <row r="123" spans="1:16" ht="15" customHeight="1" x14ac:dyDescent="0.25">
      <c r="A123" s="2" t="s">
        <v>366</v>
      </c>
      <c r="B123" s="3">
        <v>45326</v>
      </c>
      <c r="C123" s="2" t="s">
        <v>367</v>
      </c>
      <c r="D123" s="2" t="s">
        <v>368</v>
      </c>
      <c r="E123" s="2" t="s">
        <v>28</v>
      </c>
      <c r="F123" s="2" t="s">
        <v>29</v>
      </c>
      <c r="G123" s="2" t="s">
        <v>77</v>
      </c>
      <c r="H123" s="2" t="s">
        <v>78</v>
      </c>
      <c r="I123" s="2" t="s">
        <v>59</v>
      </c>
      <c r="J123" s="4">
        <v>8</v>
      </c>
      <c r="K123" s="5">
        <v>4649.22</v>
      </c>
      <c r="L123" s="6">
        <v>0</v>
      </c>
      <c r="M123" s="5">
        <v>37193.760000000002</v>
      </c>
      <c r="N123" s="5">
        <v>9332.57</v>
      </c>
      <c r="O123" s="5">
        <v>156.03</v>
      </c>
      <c r="P123" s="2" t="s">
        <v>40</v>
      </c>
    </row>
    <row r="124" spans="1:16" ht="15" customHeight="1" x14ac:dyDescent="0.25">
      <c r="A124" s="2" t="s">
        <v>369</v>
      </c>
      <c r="B124" s="3">
        <v>45528</v>
      </c>
      <c r="C124" s="2" t="s">
        <v>111</v>
      </c>
      <c r="D124" s="2" t="s">
        <v>112</v>
      </c>
      <c r="E124" s="2" t="s">
        <v>113</v>
      </c>
      <c r="F124" s="2" t="s">
        <v>36</v>
      </c>
      <c r="G124" s="2" t="s">
        <v>370</v>
      </c>
      <c r="H124" s="2" t="s">
        <v>371</v>
      </c>
      <c r="I124" s="2" t="s">
        <v>23</v>
      </c>
      <c r="J124" s="4">
        <v>8</v>
      </c>
      <c r="K124" s="5">
        <v>746.67</v>
      </c>
      <c r="L124" s="6">
        <v>0</v>
      </c>
      <c r="M124" s="5">
        <v>5973.36</v>
      </c>
      <c r="N124" s="5">
        <v>1446.01</v>
      </c>
      <c r="O124" s="5">
        <v>37.65</v>
      </c>
      <c r="P124" s="2" t="s">
        <v>24</v>
      </c>
    </row>
    <row r="125" spans="1:16" ht="15" customHeight="1" x14ac:dyDescent="0.25">
      <c r="A125" s="2" t="s">
        <v>372</v>
      </c>
      <c r="B125" s="3">
        <v>45488</v>
      </c>
      <c r="C125" s="2" t="s">
        <v>312</v>
      </c>
      <c r="D125" s="2" t="s">
        <v>313</v>
      </c>
      <c r="E125" s="2" t="s">
        <v>19</v>
      </c>
      <c r="F125" s="2" t="s">
        <v>56</v>
      </c>
      <c r="G125" s="2" t="s">
        <v>223</v>
      </c>
      <c r="H125" s="2" t="s">
        <v>224</v>
      </c>
      <c r="I125" s="2" t="s">
        <v>39</v>
      </c>
      <c r="J125" s="4">
        <v>8</v>
      </c>
      <c r="K125" s="5">
        <v>3069.52</v>
      </c>
      <c r="L125" s="6">
        <v>0.2</v>
      </c>
      <c r="M125" s="5">
        <v>19644.93</v>
      </c>
      <c r="N125" s="5">
        <v>1602.78</v>
      </c>
      <c r="O125" s="5">
        <v>29.44</v>
      </c>
      <c r="P125" s="2" t="s">
        <v>32</v>
      </c>
    </row>
    <row r="126" spans="1:16" ht="15" customHeight="1" x14ac:dyDescent="0.25">
      <c r="A126" s="2" t="s">
        <v>373</v>
      </c>
      <c r="B126" s="3">
        <v>45535</v>
      </c>
      <c r="C126" s="2" t="s">
        <v>374</v>
      </c>
      <c r="D126" s="2" t="s">
        <v>375</v>
      </c>
      <c r="E126" s="2" t="s">
        <v>113</v>
      </c>
      <c r="F126" s="2" t="s">
        <v>36</v>
      </c>
      <c r="G126" s="2" t="s">
        <v>196</v>
      </c>
      <c r="H126" s="2" t="s">
        <v>197</v>
      </c>
      <c r="I126" s="2" t="s">
        <v>46</v>
      </c>
      <c r="J126" s="4">
        <v>9</v>
      </c>
      <c r="K126" s="5">
        <v>163.15</v>
      </c>
      <c r="L126" s="6">
        <v>0</v>
      </c>
      <c r="M126" s="5">
        <v>1468.35</v>
      </c>
      <c r="N126" s="5">
        <v>495.38</v>
      </c>
      <c r="O126" s="5">
        <v>206.52</v>
      </c>
      <c r="P126" s="2" t="s">
        <v>40</v>
      </c>
    </row>
    <row r="127" spans="1:16" ht="15" customHeight="1" x14ac:dyDescent="0.25">
      <c r="A127" s="2" t="s">
        <v>376</v>
      </c>
      <c r="B127" s="3">
        <v>45312</v>
      </c>
      <c r="C127" s="2" t="s">
        <v>123</v>
      </c>
      <c r="D127" s="2" t="s">
        <v>124</v>
      </c>
      <c r="E127" s="2" t="s">
        <v>113</v>
      </c>
      <c r="F127" s="2" t="s">
        <v>20</v>
      </c>
      <c r="G127" s="2" t="s">
        <v>318</v>
      </c>
      <c r="H127" s="2" t="s">
        <v>319</v>
      </c>
      <c r="I127" s="2" t="s">
        <v>39</v>
      </c>
      <c r="J127" s="4">
        <v>4</v>
      </c>
      <c r="K127" s="5">
        <v>3655.06</v>
      </c>
      <c r="L127" s="6">
        <v>0.05</v>
      </c>
      <c r="M127" s="5">
        <v>13889.23</v>
      </c>
      <c r="N127" s="5">
        <v>3932.6</v>
      </c>
      <c r="O127" s="5">
        <v>160.26</v>
      </c>
      <c r="P127" s="2" t="s">
        <v>40</v>
      </c>
    </row>
    <row r="128" spans="1:16" ht="15" customHeight="1" x14ac:dyDescent="0.25">
      <c r="A128" s="2" t="s">
        <v>377</v>
      </c>
      <c r="B128" s="3">
        <v>45501</v>
      </c>
      <c r="C128" s="2" t="s">
        <v>378</v>
      </c>
      <c r="D128" s="2" t="s">
        <v>379</v>
      </c>
      <c r="E128" s="2" t="s">
        <v>19</v>
      </c>
      <c r="F128" s="2" t="s">
        <v>29</v>
      </c>
      <c r="G128" s="2" t="s">
        <v>108</v>
      </c>
      <c r="H128" s="2" t="s">
        <v>109</v>
      </c>
      <c r="I128" s="2" t="s">
        <v>46</v>
      </c>
      <c r="J128" s="4">
        <v>6</v>
      </c>
      <c r="K128" s="5">
        <v>559.16999999999996</v>
      </c>
      <c r="L128" s="6">
        <v>0</v>
      </c>
      <c r="M128" s="5">
        <v>3355.02</v>
      </c>
      <c r="N128" s="5">
        <v>847.79</v>
      </c>
      <c r="O128" s="5">
        <v>168.88</v>
      </c>
      <c r="P128" s="2" t="s">
        <v>24</v>
      </c>
    </row>
    <row r="129" spans="1:16" ht="15" customHeight="1" x14ac:dyDescent="0.25">
      <c r="A129" s="2" t="s">
        <v>380</v>
      </c>
      <c r="B129" s="3">
        <v>45639</v>
      </c>
      <c r="C129" s="2" t="s">
        <v>381</v>
      </c>
      <c r="D129" s="2" t="s">
        <v>382</v>
      </c>
      <c r="E129" s="2" t="s">
        <v>19</v>
      </c>
      <c r="F129" s="2" t="s">
        <v>20</v>
      </c>
      <c r="G129" s="2" t="s">
        <v>228</v>
      </c>
      <c r="H129" s="2" t="s">
        <v>229</v>
      </c>
      <c r="I129" s="2" t="s">
        <v>23</v>
      </c>
      <c r="J129" s="4">
        <v>7</v>
      </c>
      <c r="K129" s="5">
        <v>1708.17</v>
      </c>
      <c r="L129" s="6">
        <v>0.15</v>
      </c>
      <c r="M129" s="5">
        <v>10163.61</v>
      </c>
      <c r="N129" s="5">
        <v>1041.57</v>
      </c>
      <c r="O129" s="5">
        <v>241.81</v>
      </c>
      <c r="P129" s="2" t="s">
        <v>32</v>
      </c>
    </row>
    <row r="130" spans="1:16" ht="15" customHeight="1" x14ac:dyDescent="0.25">
      <c r="A130" s="2" t="s">
        <v>383</v>
      </c>
      <c r="B130" s="3">
        <v>45590</v>
      </c>
      <c r="C130" s="2" t="s">
        <v>64</v>
      </c>
      <c r="D130" s="2" t="s">
        <v>65</v>
      </c>
      <c r="E130" s="2" t="s">
        <v>28</v>
      </c>
      <c r="F130" s="2" t="s">
        <v>20</v>
      </c>
      <c r="G130" s="2" t="s">
        <v>183</v>
      </c>
      <c r="H130" s="2" t="s">
        <v>184</v>
      </c>
      <c r="I130" s="2" t="s">
        <v>46</v>
      </c>
      <c r="J130" s="4">
        <v>11</v>
      </c>
      <c r="K130" s="5">
        <v>156.07</v>
      </c>
      <c r="L130" s="6">
        <v>0</v>
      </c>
      <c r="M130" s="5">
        <v>1716.77</v>
      </c>
      <c r="N130" s="5">
        <v>639.4</v>
      </c>
      <c r="O130" s="5">
        <v>170.89</v>
      </c>
      <c r="P130" s="2" t="s">
        <v>88</v>
      </c>
    </row>
    <row r="131" spans="1:16" ht="15" customHeight="1" x14ac:dyDescent="0.25">
      <c r="A131" s="2" t="s">
        <v>384</v>
      </c>
      <c r="B131" s="3">
        <v>45450</v>
      </c>
      <c r="C131" s="2" t="s">
        <v>327</v>
      </c>
      <c r="D131" s="2" t="s">
        <v>328</v>
      </c>
      <c r="E131" s="2" t="s">
        <v>19</v>
      </c>
      <c r="F131" s="2" t="s">
        <v>56</v>
      </c>
      <c r="G131" s="2" t="s">
        <v>385</v>
      </c>
      <c r="H131" s="2" t="s">
        <v>386</v>
      </c>
      <c r="I131" s="2" t="s">
        <v>39</v>
      </c>
      <c r="J131" s="4">
        <v>9</v>
      </c>
      <c r="K131" s="5">
        <v>2132.7199999999998</v>
      </c>
      <c r="L131" s="6">
        <v>0.2</v>
      </c>
      <c r="M131" s="5">
        <v>15355.58</v>
      </c>
      <c r="N131" s="5">
        <v>3222.38</v>
      </c>
      <c r="O131" s="5">
        <v>49.39</v>
      </c>
      <c r="P131" s="2" t="s">
        <v>32</v>
      </c>
    </row>
    <row r="132" spans="1:16" ht="15" customHeight="1" x14ac:dyDescent="0.25">
      <c r="A132" s="2" t="s">
        <v>387</v>
      </c>
      <c r="B132" s="3">
        <v>45477</v>
      </c>
      <c r="C132" s="2" t="s">
        <v>199</v>
      </c>
      <c r="D132" s="2" t="s">
        <v>200</v>
      </c>
      <c r="E132" s="2" t="s">
        <v>19</v>
      </c>
      <c r="F132" s="2" t="s">
        <v>36</v>
      </c>
      <c r="G132" s="2" t="s">
        <v>141</v>
      </c>
      <c r="H132" s="2" t="s">
        <v>142</v>
      </c>
      <c r="I132" s="2" t="s">
        <v>52</v>
      </c>
      <c r="J132" s="4">
        <v>1</v>
      </c>
      <c r="K132" s="5">
        <v>1097.71</v>
      </c>
      <c r="L132" s="6">
        <v>0</v>
      </c>
      <c r="M132" s="5">
        <v>1097.71</v>
      </c>
      <c r="N132" s="5">
        <v>232.94</v>
      </c>
      <c r="O132" s="5">
        <v>98.6</v>
      </c>
      <c r="P132" s="2" t="s">
        <v>88</v>
      </c>
    </row>
    <row r="133" spans="1:16" ht="15" customHeight="1" x14ac:dyDescent="0.25">
      <c r="A133" s="2" t="s">
        <v>388</v>
      </c>
      <c r="B133" s="3">
        <v>45371</v>
      </c>
      <c r="C133" s="2" t="s">
        <v>374</v>
      </c>
      <c r="D133" s="2" t="s">
        <v>375</v>
      </c>
      <c r="E133" s="2" t="s">
        <v>113</v>
      </c>
      <c r="F133" s="2" t="s">
        <v>36</v>
      </c>
      <c r="G133" s="2" t="s">
        <v>86</v>
      </c>
      <c r="H133" s="2" t="s">
        <v>87</v>
      </c>
      <c r="I133" s="2" t="s">
        <v>59</v>
      </c>
      <c r="J133" s="4">
        <v>2</v>
      </c>
      <c r="K133" s="5">
        <v>3507.18</v>
      </c>
      <c r="L133" s="6">
        <v>0.2</v>
      </c>
      <c r="M133" s="5">
        <v>5611.49</v>
      </c>
      <c r="N133" s="5">
        <v>1576.23</v>
      </c>
      <c r="O133" s="5">
        <v>197.3</v>
      </c>
      <c r="P133" s="2" t="s">
        <v>32</v>
      </c>
    </row>
    <row r="134" spans="1:16" ht="15" customHeight="1" x14ac:dyDescent="0.25">
      <c r="A134" s="2" t="s">
        <v>389</v>
      </c>
      <c r="B134" s="3">
        <v>45359</v>
      </c>
      <c r="C134" s="2" t="s">
        <v>315</v>
      </c>
      <c r="D134" s="2" t="s">
        <v>316</v>
      </c>
      <c r="E134" s="2" t="s">
        <v>28</v>
      </c>
      <c r="F134" s="2" t="s">
        <v>107</v>
      </c>
      <c r="G134" s="2" t="s">
        <v>196</v>
      </c>
      <c r="H134" s="2" t="s">
        <v>197</v>
      </c>
      <c r="I134" s="2" t="s">
        <v>46</v>
      </c>
      <c r="J134" s="4">
        <v>10</v>
      </c>
      <c r="K134" s="5">
        <v>332.54</v>
      </c>
      <c r="L134" s="6">
        <v>0</v>
      </c>
      <c r="M134" s="5">
        <v>3325.4</v>
      </c>
      <c r="N134" s="5">
        <v>1346.08</v>
      </c>
      <c r="O134" s="5">
        <v>179.35</v>
      </c>
      <c r="P134" s="2" t="s">
        <v>32</v>
      </c>
    </row>
    <row r="135" spans="1:16" ht="15" customHeight="1" x14ac:dyDescent="0.25">
      <c r="A135" s="2" t="s">
        <v>390</v>
      </c>
      <c r="B135" s="3">
        <v>45502</v>
      </c>
      <c r="C135" s="2" t="s">
        <v>164</v>
      </c>
      <c r="D135" s="2" t="s">
        <v>165</v>
      </c>
      <c r="E135" s="2" t="s">
        <v>19</v>
      </c>
      <c r="F135" s="2" t="s">
        <v>36</v>
      </c>
      <c r="G135" s="2" t="s">
        <v>335</v>
      </c>
      <c r="H135" s="2" t="s">
        <v>336</v>
      </c>
      <c r="I135" s="2" t="s">
        <v>52</v>
      </c>
      <c r="J135" s="4">
        <v>6</v>
      </c>
      <c r="K135" s="5">
        <v>1788</v>
      </c>
      <c r="L135" s="6">
        <v>0</v>
      </c>
      <c r="M135" s="5">
        <v>10728</v>
      </c>
      <c r="N135" s="5">
        <v>2227.16</v>
      </c>
      <c r="O135" s="5">
        <v>160.44</v>
      </c>
      <c r="P135" s="2" t="s">
        <v>88</v>
      </c>
    </row>
    <row r="136" spans="1:16" ht="15" customHeight="1" x14ac:dyDescent="0.25">
      <c r="A136" s="2" t="s">
        <v>391</v>
      </c>
      <c r="B136" s="3">
        <v>45450</v>
      </c>
      <c r="C136" s="2" t="s">
        <v>218</v>
      </c>
      <c r="D136" s="2" t="s">
        <v>219</v>
      </c>
      <c r="E136" s="2" t="s">
        <v>28</v>
      </c>
      <c r="F136" s="2" t="s">
        <v>107</v>
      </c>
      <c r="G136" s="2" t="s">
        <v>133</v>
      </c>
      <c r="H136" s="2" t="s">
        <v>134</v>
      </c>
      <c r="I136" s="2" t="s">
        <v>39</v>
      </c>
      <c r="J136" s="4">
        <v>8</v>
      </c>
      <c r="K136" s="5">
        <v>4558.28</v>
      </c>
      <c r="L136" s="6">
        <v>0</v>
      </c>
      <c r="M136" s="5">
        <v>36466.239999999998</v>
      </c>
      <c r="N136" s="5">
        <v>13056.36</v>
      </c>
      <c r="O136" s="5">
        <v>237.84</v>
      </c>
      <c r="P136" s="2" t="s">
        <v>88</v>
      </c>
    </row>
    <row r="137" spans="1:16" ht="15" customHeight="1" x14ac:dyDescent="0.25">
      <c r="A137" s="2" t="s">
        <v>392</v>
      </c>
      <c r="B137" s="3">
        <v>45549</v>
      </c>
      <c r="C137" s="2" t="s">
        <v>247</v>
      </c>
      <c r="D137" s="2" t="s">
        <v>248</v>
      </c>
      <c r="E137" s="2" t="s">
        <v>113</v>
      </c>
      <c r="F137" s="2" t="s">
        <v>29</v>
      </c>
      <c r="G137" s="2" t="s">
        <v>108</v>
      </c>
      <c r="H137" s="2" t="s">
        <v>109</v>
      </c>
      <c r="I137" s="2" t="s">
        <v>46</v>
      </c>
      <c r="J137" s="4">
        <v>9</v>
      </c>
      <c r="K137" s="5">
        <v>364</v>
      </c>
      <c r="L137" s="6">
        <v>0</v>
      </c>
      <c r="M137" s="5">
        <v>3276</v>
      </c>
      <c r="N137" s="5">
        <v>805.17</v>
      </c>
      <c r="O137" s="5">
        <v>204.29</v>
      </c>
      <c r="P137" s="2" t="s">
        <v>73</v>
      </c>
    </row>
    <row r="138" spans="1:16" ht="15" customHeight="1" x14ac:dyDescent="0.25">
      <c r="A138" s="2" t="s">
        <v>393</v>
      </c>
      <c r="B138" s="3">
        <v>45482</v>
      </c>
      <c r="C138" s="2" t="s">
        <v>303</v>
      </c>
      <c r="D138" s="2" t="s">
        <v>304</v>
      </c>
      <c r="E138" s="2" t="s">
        <v>19</v>
      </c>
      <c r="F138" s="2" t="s">
        <v>56</v>
      </c>
      <c r="G138" s="2" t="s">
        <v>290</v>
      </c>
      <c r="H138" s="2" t="s">
        <v>291</v>
      </c>
      <c r="I138" s="2" t="s">
        <v>23</v>
      </c>
      <c r="J138" s="4">
        <v>9</v>
      </c>
      <c r="K138" s="5">
        <v>4243.74</v>
      </c>
      <c r="L138" s="6">
        <v>0.15</v>
      </c>
      <c r="M138" s="5">
        <v>32464.61</v>
      </c>
      <c r="N138" s="5">
        <v>3381.17</v>
      </c>
      <c r="O138" s="5">
        <v>215.77</v>
      </c>
      <c r="P138" s="2" t="s">
        <v>40</v>
      </c>
    </row>
    <row r="139" spans="1:16" ht="15" customHeight="1" x14ac:dyDescent="0.25">
      <c r="A139" s="2" t="s">
        <v>394</v>
      </c>
      <c r="B139" s="3">
        <v>45522</v>
      </c>
      <c r="C139" s="2" t="s">
        <v>123</v>
      </c>
      <c r="D139" s="2" t="s">
        <v>124</v>
      </c>
      <c r="E139" s="2" t="s">
        <v>113</v>
      </c>
      <c r="F139" s="2" t="s">
        <v>20</v>
      </c>
      <c r="G139" s="2" t="s">
        <v>239</v>
      </c>
      <c r="H139" s="2" t="s">
        <v>240</v>
      </c>
      <c r="I139" s="2" t="s">
        <v>59</v>
      </c>
      <c r="J139" s="4">
        <v>9</v>
      </c>
      <c r="K139" s="5">
        <v>2349.3200000000002</v>
      </c>
      <c r="L139" s="6">
        <v>0.05</v>
      </c>
      <c r="M139" s="5">
        <v>20086.689999999999</v>
      </c>
      <c r="N139" s="5">
        <v>7972.76</v>
      </c>
      <c r="O139" s="5">
        <v>229.42</v>
      </c>
      <c r="P139" s="2" t="s">
        <v>88</v>
      </c>
    </row>
    <row r="140" spans="1:16" ht="15" customHeight="1" x14ac:dyDescent="0.25">
      <c r="A140" s="2" t="s">
        <v>395</v>
      </c>
      <c r="B140" s="3">
        <v>45319</v>
      </c>
      <c r="C140" s="2" t="s">
        <v>93</v>
      </c>
      <c r="D140" s="2" t="s">
        <v>94</v>
      </c>
      <c r="E140" s="2" t="s">
        <v>28</v>
      </c>
      <c r="F140" s="2" t="s">
        <v>20</v>
      </c>
      <c r="G140" s="2" t="s">
        <v>261</v>
      </c>
      <c r="H140" s="2" t="s">
        <v>262</v>
      </c>
      <c r="I140" s="2" t="s">
        <v>23</v>
      </c>
      <c r="J140" s="4">
        <v>7</v>
      </c>
      <c r="K140" s="5">
        <v>2557.83</v>
      </c>
      <c r="L140" s="6">
        <v>0</v>
      </c>
      <c r="M140" s="5">
        <v>17904.810000000001</v>
      </c>
      <c r="N140" s="5">
        <v>6328.61</v>
      </c>
      <c r="O140" s="5">
        <v>38.770000000000003</v>
      </c>
      <c r="P140" s="2" t="s">
        <v>73</v>
      </c>
    </row>
    <row r="141" spans="1:16" ht="15" customHeight="1" x14ac:dyDescent="0.25">
      <c r="A141" s="2" t="s">
        <v>396</v>
      </c>
      <c r="B141" s="3">
        <v>45657</v>
      </c>
      <c r="C141" s="2" t="s">
        <v>397</v>
      </c>
      <c r="D141" s="2" t="s">
        <v>398</v>
      </c>
      <c r="E141" s="2" t="s">
        <v>19</v>
      </c>
      <c r="F141" s="2" t="s">
        <v>29</v>
      </c>
      <c r="G141" s="2" t="s">
        <v>183</v>
      </c>
      <c r="H141" s="2" t="s">
        <v>184</v>
      </c>
      <c r="I141" s="2" t="s">
        <v>46</v>
      </c>
      <c r="J141" s="4">
        <v>11</v>
      </c>
      <c r="K141" s="5">
        <v>301.47000000000003</v>
      </c>
      <c r="L141" s="6">
        <v>0</v>
      </c>
      <c r="M141" s="5">
        <v>3316.17</v>
      </c>
      <c r="N141" s="5">
        <v>1378.2</v>
      </c>
      <c r="O141" s="5">
        <v>85.98</v>
      </c>
      <c r="P141" s="2" t="s">
        <v>88</v>
      </c>
    </row>
    <row r="142" spans="1:16" ht="15" customHeight="1" x14ac:dyDescent="0.25">
      <c r="A142" s="2" t="s">
        <v>399</v>
      </c>
      <c r="B142" s="3">
        <v>45607</v>
      </c>
      <c r="C142" s="2" t="s">
        <v>139</v>
      </c>
      <c r="D142" s="2" t="s">
        <v>140</v>
      </c>
      <c r="E142" s="2" t="s">
        <v>113</v>
      </c>
      <c r="F142" s="2" t="s">
        <v>20</v>
      </c>
      <c r="G142" s="2" t="s">
        <v>158</v>
      </c>
      <c r="H142" s="2" t="s">
        <v>159</v>
      </c>
      <c r="I142" s="2" t="s">
        <v>52</v>
      </c>
      <c r="J142" s="4">
        <v>1</v>
      </c>
      <c r="K142" s="5">
        <v>2292.89</v>
      </c>
      <c r="L142" s="6">
        <v>0</v>
      </c>
      <c r="M142" s="5">
        <v>2292.89</v>
      </c>
      <c r="N142" s="5">
        <v>885.1</v>
      </c>
      <c r="O142" s="5">
        <v>212.04</v>
      </c>
      <c r="P142" s="2" t="s">
        <v>32</v>
      </c>
    </row>
    <row r="143" spans="1:16" ht="15" customHeight="1" x14ac:dyDescent="0.25">
      <c r="A143" s="2" t="s">
        <v>400</v>
      </c>
      <c r="B143" s="3">
        <v>45348</v>
      </c>
      <c r="C143" s="2" t="s">
        <v>118</v>
      </c>
      <c r="D143" s="2" t="s">
        <v>119</v>
      </c>
      <c r="E143" s="2" t="s">
        <v>28</v>
      </c>
      <c r="F143" s="2" t="s">
        <v>107</v>
      </c>
      <c r="G143" s="2" t="s">
        <v>96</v>
      </c>
      <c r="H143" s="2" t="s">
        <v>97</v>
      </c>
      <c r="I143" s="2" t="s">
        <v>39</v>
      </c>
      <c r="J143" s="4">
        <v>5</v>
      </c>
      <c r="K143" s="5">
        <v>1493.15</v>
      </c>
      <c r="L143" s="6">
        <v>0</v>
      </c>
      <c r="M143" s="5">
        <v>7465.75</v>
      </c>
      <c r="N143" s="5">
        <v>3270.47</v>
      </c>
      <c r="O143" s="5">
        <v>116.56</v>
      </c>
      <c r="P143" s="2" t="s">
        <v>32</v>
      </c>
    </row>
    <row r="144" spans="1:16" ht="15" customHeight="1" x14ac:dyDescent="0.25">
      <c r="A144" s="2" t="s">
        <v>401</v>
      </c>
      <c r="B144" s="3">
        <v>45547</v>
      </c>
      <c r="C144" s="2" t="s">
        <v>281</v>
      </c>
      <c r="D144" s="2" t="s">
        <v>282</v>
      </c>
      <c r="E144" s="2" t="s">
        <v>19</v>
      </c>
      <c r="F144" s="2" t="s">
        <v>29</v>
      </c>
      <c r="G144" s="2" t="s">
        <v>210</v>
      </c>
      <c r="H144" s="2" t="s">
        <v>211</v>
      </c>
      <c r="I144" s="2" t="s">
        <v>23</v>
      </c>
      <c r="J144" s="4">
        <v>10</v>
      </c>
      <c r="K144" s="5">
        <v>2690.61</v>
      </c>
      <c r="L144" s="6">
        <v>0.15</v>
      </c>
      <c r="M144" s="5">
        <v>22870.19</v>
      </c>
      <c r="N144" s="5">
        <v>4605.1499999999996</v>
      </c>
      <c r="O144" s="5">
        <v>75.650000000000006</v>
      </c>
      <c r="P144" s="2" t="s">
        <v>73</v>
      </c>
    </row>
    <row r="145" spans="1:16" ht="15" customHeight="1" x14ac:dyDescent="0.25">
      <c r="A145" s="2" t="s">
        <v>402</v>
      </c>
      <c r="B145" s="3">
        <v>45606</v>
      </c>
      <c r="C145" s="2" t="s">
        <v>403</v>
      </c>
      <c r="D145" s="2" t="s">
        <v>404</v>
      </c>
      <c r="E145" s="2" t="s">
        <v>113</v>
      </c>
      <c r="F145" s="2" t="s">
        <v>20</v>
      </c>
      <c r="G145" s="2" t="s">
        <v>335</v>
      </c>
      <c r="H145" s="2" t="s">
        <v>336</v>
      </c>
      <c r="I145" s="2" t="s">
        <v>52</v>
      </c>
      <c r="J145" s="4">
        <v>6</v>
      </c>
      <c r="K145" s="5">
        <v>829.24</v>
      </c>
      <c r="L145" s="6">
        <v>0.05</v>
      </c>
      <c r="M145" s="5">
        <v>4726.67</v>
      </c>
      <c r="N145" s="5">
        <v>1757.19</v>
      </c>
      <c r="O145" s="5">
        <v>173.69</v>
      </c>
      <c r="P145" s="2" t="s">
        <v>32</v>
      </c>
    </row>
    <row r="146" spans="1:16" ht="15" customHeight="1" x14ac:dyDescent="0.25">
      <c r="A146" s="2" t="s">
        <v>405</v>
      </c>
      <c r="B146" s="3">
        <v>45570</v>
      </c>
      <c r="C146" s="2" t="s">
        <v>264</v>
      </c>
      <c r="D146" s="2" t="s">
        <v>265</v>
      </c>
      <c r="E146" s="2" t="s">
        <v>19</v>
      </c>
      <c r="F146" s="2" t="s">
        <v>29</v>
      </c>
      <c r="G146" s="2" t="s">
        <v>228</v>
      </c>
      <c r="H146" s="2" t="s">
        <v>229</v>
      </c>
      <c r="I146" s="2" t="s">
        <v>23</v>
      </c>
      <c r="J146" s="4">
        <v>9</v>
      </c>
      <c r="K146" s="5">
        <v>3667.01</v>
      </c>
      <c r="L146" s="6">
        <v>0.1</v>
      </c>
      <c r="M146" s="5">
        <v>29702.78</v>
      </c>
      <c r="N146" s="5">
        <v>6978.9</v>
      </c>
      <c r="O146" s="5">
        <v>109.8</v>
      </c>
      <c r="P146" s="2" t="s">
        <v>88</v>
      </c>
    </row>
    <row r="147" spans="1:16" ht="15" customHeight="1" x14ac:dyDescent="0.25">
      <c r="A147" s="2" t="s">
        <v>406</v>
      </c>
      <c r="B147" s="3">
        <v>45421</v>
      </c>
      <c r="C147" s="2" t="s">
        <v>275</v>
      </c>
      <c r="D147" s="2" t="s">
        <v>276</v>
      </c>
      <c r="E147" s="2" t="s">
        <v>19</v>
      </c>
      <c r="F147" s="2" t="s">
        <v>107</v>
      </c>
      <c r="G147" s="2" t="s">
        <v>309</v>
      </c>
      <c r="H147" s="2" t="s">
        <v>310</v>
      </c>
      <c r="I147" s="2" t="s">
        <v>52</v>
      </c>
      <c r="J147" s="4">
        <v>12</v>
      </c>
      <c r="K147" s="5">
        <v>335.73</v>
      </c>
      <c r="L147" s="6">
        <v>0.2</v>
      </c>
      <c r="M147" s="5">
        <v>3223.01</v>
      </c>
      <c r="N147" s="5">
        <v>939.15</v>
      </c>
      <c r="O147" s="5">
        <v>75.459999999999994</v>
      </c>
      <c r="P147" s="2" t="s">
        <v>24</v>
      </c>
    </row>
    <row r="148" spans="1:16" ht="15" customHeight="1" x14ac:dyDescent="0.25">
      <c r="A148" s="2" t="s">
        <v>407</v>
      </c>
      <c r="B148" s="3">
        <v>45314</v>
      </c>
      <c r="C148" s="2" t="s">
        <v>99</v>
      </c>
      <c r="D148" s="2" t="s">
        <v>100</v>
      </c>
      <c r="E148" s="2" t="s">
        <v>19</v>
      </c>
      <c r="F148" s="2" t="s">
        <v>36</v>
      </c>
      <c r="G148" s="2" t="s">
        <v>90</v>
      </c>
      <c r="H148" s="2" t="s">
        <v>91</v>
      </c>
      <c r="I148" s="2" t="s">
        <v>46</v>
      </c>
      <c r="J148" s="4">
        <v>6</v>
      </c>
      <c r="K148" s="5">
        <v>459.51</v>
      </c>
      <c r="L148" s="6">
        <v>0.2</v>
      </c>
      <c r="M148" s="5">
        <v>2205.65</v>
      </c>
      <c r="N148" s="5">
        <v>246.21</v>
      </c>
      <c r="O148" s="5">
        <v>210.99</v>
      </c>
      <c r="P148" s="2" t="s">
        <v>88</v>
      </c>
    </row>
    <row r="149" spans="1:16" ht="15" customHeight="1" x14ac:dyDescent="0.25">
      <c r="A149" s="2" t="s">
        <v>408</v>
      </c>
      <c r="B149" s="3">
        <v>45324</v>
      </c>
      <c r="C149" s="2" t="s">
        <v>232</v>
      </c>
      <c r="D149" s="2" t="s">
        <v>233</v>
      </c>
      <c r="E149" s="2" t="s">
        <v>19</v>
      </c>
      <c r="F149" s="2" t="s">
        <v>107</v>
      </c>
      <c r="G149" s="2" t="s">
        <v>86</v>
      </c>
      <c r="H149" s="2" t="s">
        <v>87</v>
      </c>
      <c r="I149" s="2" t="s">
        <v>59</v>
      </c>
      <c r="J149" s="4">
        <v>12</v>
      </c>
      <c r="K149" s="5">
        <v>7254.29</v>
      </c>
      <c r="L149" s="6">
        <v>0.05</v>
      </c>
      <c r="M149" s="5">
        <v>82698.91</v>
      </c>
      <c r="N149" s="5">
        <v>34015.72</v>
      </c>
      <c r="O149" s="5">
        <v>66.37</v>
      </c>
      <c r="P149" s="2" t="s">
        <v>73</v>
      </c>
    </row>
    <row r="150" spans="1:16" ht="15" customHeight="1" x14ac:dyDescent="0.25">
      <c r="A150" s="2" t="s">
        <v>409</v>
      </c>
      <c r="B150" s="3">
        <v>45555</v>
      </c>
      <c r="C150" s="2" t="s">
        <v>275</v>
      </c>
      <c r="D150" s="2" t="s">
        <v>276</v>
      </c>
      <c r="E150" s="2" t="s">
        <v>19</v>
      </c>
      <c r="F150" s="2" t="s">
        <v>107</v>
      </c>
      <c r="G150" s="2" t="s">
        <v>66</v>
      </c>
      <c r="H150" s="2" t="s">
        <v>67</v>
      </c>
      <c r="I150" s="2" t="s">
        <v>46</v>
      </c>
      <c r="J150" s="4">
        <v>7</v>
      </c>
      <c r="K150" s="5">
        <v>791.84</v>
      </c>
      <c r="L150" s="6">
        <v>0.1</v>
      </c>
      <c r="M150" s="5">
        <v>4988.59</v>
      </c>
      <c r="N150" s="5">
        <v>1284.01</v>
      </c>
      <c r="O150" s="5">
        <v>28.42</v>
      </c>
      <c r="P150" s="2" t="s">
        <v>73</v>
      </c>
    </row>
    <row r="151" spans="1:16" ht="15" customHeight="1" x14ac:dyDescent="0.25">
      <c r="A151" s="2" t="s">
        <v>410</v>
      </c>
      <c r="B151" s="3">
        <v>45627</v>
      </c>
      <c r="C151" s="2" t="s">
        <v>411</v>
      </c>
      <c r="D151" s="2" t="s">
        <v>412</v>
      </c>
      <c r="E151" s="2" t="s">
        <v>28</v>
      </c>
      <c r="F151" s="2" t="s">
        <v>29</v>
      </c>
      <c r="G151" s="2" t="s">
        <v>71</v>
      </c>
      <c r="H151" s="2" t="s">
        <v>72</v>
      </c>
      <c r="I151" s="2" t="s">
        <v>46</v>
      </c>
      <c r="J151" s="4">
        <v>6</v>
      </c>
      <c r="K151" s="5">
        <v>254.91</v>
      </c>
      <c r="L151" s="6">
        <v>0.2</v>
      </c>
      <c r="M151" s="5">
        <v>1223.57</v>
      </c>
      <c r="N151" s="5">
        <v>241.65</v>
      </c>
      <c r="O151" s="5">
        <v>224.58</v>
      </c>
      <c r="P151" s="2" t="s">
        <v>88</v>
      </c>
    </row>
    <row r="152" spans="1:16" ht="15" customHeight="1" x14ac:dyDescent="0.25">
      <c r="A152" s="2" t="s">
        <v>413</v>
      </c>
      <c r="B152" s="3">
        <v>45546</v>
      </c>
      <c r="C152" s="2" t="s">
        <v>414</v>
      </c>
      <c r="D152" s="2" t="s">
        <v>415</v>
      </c>
      <c r="E152" s="2" t="s">
        <v>19</v>
      </c>
      <c r="F152" s="2" t="s">
        <v>36</v>
      </c>
      <c r="G152" s="2" t="s">
        <v>90</v>
      </c>
      <c r="H152" s="2" t="s">
        <v>91</v>
      </c>
      <c r="I152" s="2" t="s">
        <v>46</v>
      </c>
      <c r="J152" s="4">
        <v>12</v>
      </c>
      <c r="K152" s="5">
        <v>423.14</v>
      </c>
      <c r="L152" s="6">
        <v>0.2</v>
      </c>
      <c r="M152" s="5">
        <v>4062.14</v>
      </c>
      <c r="N152" s="5">
        <v>610.24</v>
      </c>
      <c r="O152" s="5">
        <v>204.26</v>
      </c>
      <c r="P152" s="2" t="s">
        <v>88</v>
      </c>
    </row>
    <row r="153" spans="1:16" ht="15" customHeight="1" x14ac:dyDescent="0.25">
      <c r="A153" s="2" t="s">
        <v>416</v>
      </c>
      <c r="B153" s="3">
        <v>45384</v>
      </c>
      <c r="C153" s="2" t="s">
        <v>123</v>
      </c>
      <c r="D153" s="2" t="s">
        <v>124</v>
      </c>
      <c r="E153" s="2" t="s">
        <v>113</v>
      </c>
      <c r="F153" s="2" t="s">
        <v>20</v>
      </c>
      <c r="G153" s="2" t="s">
        <v>50</v>
      </c>
      <c r="H153" s="2" t="s">
        <v>51</v>
      </c>
      <c r="I153" s="2" t="s">
        <v>52</v>
      </c>
      <c r="J153" s="4">
        <v>9</v>
      </c>
      <c r="K153" s="5">
        <v>946.29</v>
      </c>
      <c r="L153" s="6">
        <v>0</v>
      </c>
      <c r="M153" s="5">
        <v>8516.61</v>
      </c>
      <c r="N153" s="5">
        <v>3662</v>
      </c>
      <c r="O153" s="5">
        <v>172.01</v>
      </c>
      <c r="P153" s="2" t="s">
        <v>40</v>
      </c>
    </row>
    <row r="154" spans="1:16" ht="15" customHeight="1" x14ac:dyDescent="0.25">
      <c r="A154" s="2" t="s">
        <v>417</v>
      </c>
      <c r="B154" s="3">
        <v>45377</v>
      </c>
      <c r="C154" s="2" t="s">
        <v>208</v>
      </c>
      <c r="D154" s="2" t="s">
        <v>209</v>
      </c>
      <c r="E154" s="2" t="s">
        <v>19</v>
      </c>
      <c r="F154" s="2" t="s">
        <v>29</v>
      </c>
      <c r="G154" s="2" t="s">
        <v>96</v>
      </c>
      <c r="H154" s="2" t="s">
        <v>97</v>
      </c>
      <c r="I154" s="2" t="s">
        <v>39</v>
      </c>
      <c r="J154" s="4">
        <v>12</v>
      </c>
      <c r="K154" s="5">
        <v>2441.98</v>
      </c>
      <c r="L154" s="6">
        <v>0.05</v>
      </c>
      <c r="M154" s="5">
        <v>27838.57</v>
      </c>
      <c r="N154" s="5">
        <v>11411.21</v>
      </c>
      <c r="O154" s="5">
        <v>220.11</v>
      </c>
      <c r="P154" s="2" t="s">
        <v>40</v>
      </c>
    </row>
    <row r="155" spans="1:16" ht="15" customHeight="1" x14ac:dyDescent="0.25">
      <c r="A155" s="2" t="s">
        <v>418</v>
      </c>
      <c r="B155" s="3">
        <v>45619</v>
      </c>
      <c r="C155" s="2" t="s">
        <v>312</v>
      </c>
      <c r="D155" s="2" t="s">
        <v>313</v>
      </c>
      <c r="E155" s="2" t="s">
        <v>19</v>
      </c>
      <c r="F155" s="2" t="s">
        <v>56</v>
      </c>
      <c r="G155" s="2" t="s">
        <v>172</v>
      </c>
      <c r="H155" s="2" t="s">
        <v>173</v>
      </c>
      <c r="I155" s="2" t="s">
        <v>52</v>
      </c>
      <c r="J155" s="4">
        <v>1</v>
      </c>
      <c r="K155" s="5">
        <v>465.09</v>
      </c>
      <c r="L155" s="6">
        <v>0.15</v>
      </c>
      <c r="M155" s="5">
        <v>395.33</v>
      </c>
      <c r="N155" s="5">
        <v>92.3</v>
      </c>
      <c r="O155" s="5">
        <v>138.01</v>
      </c>
      <c r="P155" s="2" t="s">
        <v>73</v>
      </c>
    </row>
    <row r="156" spans="1:16" ht="15" customHeight="1" x14ac:dyDescent="0.25">
      <c r="A156" s="2" t="s">
        <v>419</v>
      </c>
      <c r="B156" s="3">
        <v>45639</v>
      </c>
      <c r="C156" s="2" t="s">
        <v>397</v>
      </c>
      <c r="D156" s="2" t="s">
        <v>398</v>
      </c>
      <c r="E156" s="2" t="s">
        <v>19</v>
      </c>
      <c r="F156" s="2" t="s">
        <v>29</v>
      </c>
      <c r="G156" s="2" t="s">
        <v>420</v>
      </c>
      <c r="H156" s="2" t="s">
        <v>421</v>
      </c>
      <c r="I156" s="2" t="s">
        <v>59</v>
      </c>
      <c r="J156" s="4">
        <v>8</v>
      </c>
      <c r="K156" s="5">
        <v>1471.43</v>
      </c>
      <c r="L156" s="6">
        <v>0</v>
      </c>
      <c r="M156" s="5">
        <v>11771.44</v>
      </c>
      <c r="N156" s="5">
        <v>4602.6499999999996</v>
      </c>
      <c r="O156" s="5">
        <v>168.39</v>
      </c>
      <c r="P156" s="2" t="s">
        <v>40</v>
      </c>
    </row>
    <row r="157" spans="1:16" ht="15" customHeight="1" x14ac:dyDescent="0.25">
      <c r="A157" s="2" t="s">
        <v>422</v>
      </c>
      <c r="B157" s="3">
        <v>45601</v>
      </c>
      <c r="C157" s="2" t="s">
        <v>414</v>
      </c>
      <c r="D157" s="2" t="s">
        <v>415</v>
      </c>
      <c r="E157" s="2" t="s">
        <v>19</v>
      </c>
      <c r="F157" s="2" t="s">
        <v>36</v>
      </c>
      <c r="G157" s="2" t="s">
        <v>190</v>
      </c>
      <c r="H157" s="2" t="s">
        <v>191</v>
      </c>
      <c r="I157" s="2" t="s">
        <v>39</v>
      </c>
      <c r="J157" s="4">
        <v>3</v>
      </c>
      <c r="K157" s="5">
        <v>3523.69</v>
      </c>
      <c r="L157" s="6">
        <v>0</v>
      </c>
      <c r="M157" s="5">
        <v>10571.07</v>
      </c>
      <c r="N157" s="5">
        <v>3773.84</v>
      </c>
      <c r="O157" s="5">
        <v>195.51</v>
      </c>
      <c r="P157" s="2" t="s">
        <v>32</v>
      </c>
    </row>
    <row r="158" spans="1:16" ht="15" customHeight="1" x14ac:dyDescent="0.25">
      <c r="A158" s="2" t="s">
        <v>423</v>
      </c>
      <c r="B158" s="3">
        <v>45495</v>
      </c>
      <c r="C158" s="2" t="s">
        <v>139</v>
      </c>
      <c r="D158" s="2" t="s">
        <v>140</v>
      </c>
      <c r="E158" s="2" t="s">
        <v>113</v>
      </c>
      <c r="F158" s="2" t="s">
        <v>20</v>
      </c>
      <c r="G158" s="2" t="s">
        <v>215</v>
      </c>
      <c r="H158" s="2" t="s">
        <v>216</v>
      </c>
      <c r="I158" s="2" t="s">
        <v>39</v>
      </c>
      <c r="J158" s="4">
        <v>6</v>
      </c>
      <c r="K158" s="5">
        <v>3387.98</v>
      </c>
      <c r="L158" s="6">
        <v>0</v>
      </c>
      <c r="M158" s="5">
        <v>20327.88</v>
      </c>
      <c r="N158" s="5">
        <v>4266.21</v>
      </c>
      <c r="O158" s="5">
        <v>25.96</v>
      </c>
      <c r="P158" s="2" t="s">
        <v>73</v>
      </c>
    </row>
    <row r="159" spans="1:16" ht="15" customHeight="1" x14ac:dyDescent="0.25">
      <c r="A159" s="2" t="s">
        <v>424</v>
      </c>
      <c r="B159" s="3">
        <v>45579</v>
      </c>
      <c r="C159" s="2" t="s">
        <v>278</v>
      </c>
      <c r="D159" s="2" t="s">
        <v>279</v>
      </c>
      <c r="E159" s="2" t="s">
        <v>19</v>
      </c>
      <c r="F159" s="2" t="s">
        <v>29</v>
      </c>
      <c r="G159" s="2" t="s">
        <v>96</v>
      </c>
      <c r="H159" s="2" t="s">
        <v>97</v>
      </c>
      <c r="I159" s="2" t="s">
        <v>39</v>
      </c>
      <c r="J159" s="4">
        <v>2</v>
      </c>
      <c r="K159" s="5">
        <v>1604.17</v>
      </c>
      <c r="L159" s="6">
        <v>0</v>
      </c>
      <c r="M159" s="5">
        <v>3208.34</v>
      </c>
      <c r="N159" s="5">
        <v>879.05</v>
      </c>
      <c r="O159" s="5">
        <v>69.349999999999994</v>
      </c>
      <c r="P159" s="2" t="s">
        <v>32</v>
      </c>
    </row>
    <row r="160" spans="1:16" ht="15" customHeight="1" x14ac:dyDescent="0.25">
      <c r="A160" s="2" t="s">
        <v>425</v>
      </c>
      <c r="B160" s="3">
        <v>45354</v>
      </c>
      <c r="C160" s="2" t="s">
        <v>411</v>
      </c>
      <c r="D160" s="2" t="s">
        <v>412</v>
      </c>
      <c r="E160" s="2" t="s">
        <v>28</v>
      </c>
      <c r="F160" s="2" t="s">
        <v>29</v>
      </c>
      <c r="G160" s="2" t="s">
        <v>149</v>
      </c>
      <c r="H160" s="2" t="s">
        <v>150</v>
      </c>
      <c r="I160" s="2" t="s">
        <v>52</v>
      </c>
      <c r="J160" s="4">
        <v>3</v>
      </c>
      <c r="K160" s="5">
        <v>2176.2199999999998</v>
      </c>
      <c r="L160" s="6">
        <v>0.05</v>
      </c>
      <c r="M160" s="5">
        <v>6202.23</v>
      </c>
      <c r="N160" s="5">
        <v>2329.66</v>
      </c>
      <c r="O160" s="5">
        <v>184.08</v>
      </c>
      <c r="P160" s="2" t="s">
        <v>24</v>
      </c>
    </row>
    <row r="161" spans="1:16" ht="15" customHeight="1" x14ac:dyDescent="0.25">
      <c r="A161" s="2" t="s">
        <v>426</v>
      </c>
      <c r="B161" s="3">
        <v>45573</v>
      </c>
      <c r="C161" s="2" t="s">
        <v>367</v>
      </c>
      <c r="D161" s="2" t="s">
        <v>368</v>
      </c>
      <c r="E161" s="2" t="s">
        <v>28</v>
      </c>
      <c r="F161" s="2" t="s">
        <v>29</v>
      </c>
      <c r="G161" s="2" t="s">
        <v>183</v>
      </c>
      <c r="H161" s="2" t="s">
        <v>184</v>
      </c>
      <c r="I161" s="2" t="s">
        <v>46</v>
      </c>
      <c r="J161" s="4">
        <v>9</v>
      </c>
      <c r="K161" s="5">
        <v>267.77</v>
      </c>
      <c r="L161" s="6">
        <v>0</v>
      </c>
      <c r="M161" s="5">
        <v>2409.9299999999998</v>
      </c>
      <c r="N161" s="5">
        <v>571.54</v>
      </c>
      <c r="O161" s="5">
        <v>183.72</v>
      </c>
      <c r="P161" s="2" t="s">
        <v>73</v>
      </c>
    </row>
    <row r="162" spans="1:16" ht="15" customHeight="1" x14ac:dyDescent="0.25">
      <c r="A162" s="2" t="s">
        <v>427</v>
      </c>
      <c r="B162" s="3">
        <v>45354</v>
      </c>
      <c r="C162" s="2" t="s">
        <v>264</v>
      </c>
      <c r="D162" s="2" t="s">
        <v>265</v>
      </c>
      <c r="E162" s="2" t="s">
        <v>19</v>
      </c>
      <c r="F162" s="2" t="s">
        <v>29</v>
      </c>
      <c r="G162" s="2" t="s">
        <v>133</v>
      </c>
      <c r="H162" s="2" t="s">
        <v>134</v>
      </c>
      <c r="I162" s="2" t="s">
        <v>39</v>
      </c>
      <c r="J162" s="4">
        <v>4</v>
      </c>
      <c r="K162" s="5">
        <v>4043.5</v>
      </c>
      <c r="L162" s="6">
        <v>0</v>
      </c>
      <c r="M162" s="5">
        <v>16174</v>
      </c>
      <c r="N162" s="5">
        <v>4082.43</v>
      </c>
      <c r="O162" s="5">
        <v>26.05</v>
      </c>
      <c r="P162" s="2" t="s">
        <v>32</v>
      </c>
    </row>
    <row r="163" spans="1:16" ht="15" customHeight="1" x14ac:dyDescent="0.25">
      <c r="A163" s="2" t="s">
        <v>428</v>
      </c>
      <c r="B163" s="3">
        <v>45574</v>
      </c>
      <c r="C163" s="2" t="s">
        <v>156</v>
      </c>
      <c r="D163" s="2" t="s">
        <v>157</v>
      </c>
      <c r="E163" s="2" t="s">
        <v>19</v>
      </c>
      <c r="F163" s="2" t="s">
        <v>36</v>
      </c>
      <c r="G163" s="2" t="s">
        <v>120</v>
      </c>
      <c r="H163" s="2" t="s">
        <v>121</v>
      </c>
      <c r="I163" s="2" t="s">
        <v>46</v>
      </c>
      <c r="J163" s="4">
        <v>3</v>
      </c>
      <c r="K163" s="5">
        <v>508.96</v>
      </c>
      <c r="L163" s="6">
        <v>0</v>
      </c>
      <c r="M163" s="5">
        <v>1526.88</v>
      </c>
      <c r="N163" s="5">
        <v>662</v>
      </c>
      <c r="O163" s="5">
        <v>111.58</v>
      </c>
      <c r="P163" s="2" t="s">
        <v>88</v>
      </c>
    </row>
    <row r="164" spans="1:16" ht="15" customHeight="1" x14ac:dyDescent="0.25">
      <c r="A164" s="2" t="s">
        <v>429</v>
      </c>
      <c r="B164" s="3">
        <v>45586</v>
      </c>
      <c r="C164" s="2" t="s">
        <v>430</v>
      </c>
      <c r="D164" s="2" t="s">
        <v>431</v>
      </c>
      <c r="E164" s="2" t="s">
        <v>19</v>
      </c>
      <c r="F164" s="2" t="s">
        <v>56</v>
      </c>
      <c r="G164" s="2" t="s">
        <v>153</v>
      </c>
      <c r="H164" s="2" t="s">
        <v>154</v>
      </c>
      <c r="I164" s="2" t="s">
        <v>52</v>
      </c>
      <c r="J164" s="4">
        <v>2</v>
      </c>
      <c r="K164" s="5">
        <v>575.72</v>
      </c>
      <c r="L164" s="6">
        <v>0</v>
      </c>
      <c r="M164" s="5">
        <v>1151.44</v>
      </c>
      <c r="N164" s="5">
        <v>333.24</v>
      </c>
      <c r="O164" s="5">
        <v>123.49</v>
      </c>
      <c r="P164" s="2" t="s">
        <v>32</v>
      </c>
    </row>
    <row r="165" spans="1:16" ht="15" customHeight="1" x14ac:dyDescent="0.25">
      <c r="A165" s="2" t="s">
        <v>432</v>
      </c>
      <c r="B165" s="3">
        <v>45619</v>
      </c>
      <c r="C165" s="2" t="s">
        <v>93</v>
      </c>
      <c r="D165" s="2" t="s">
        <v>94</v>
      </c>
      <c r="E165" s="2" t="s">
        <v>28</v>
      </c>
      <c r="F165" s="2" t="s">
        <v>20</v>
      </c>
      <c r="G165" s="2" t="s">
        <v>433</v>
      </c>
      <c r="H165" s="2" t="s">
        <v>434</v>
      </c>
      <c r="I165" s="2" t="s">
        <v>59</v>
      </c>
      <c r="J165" s="4">
        <v>10</v>
      </c>
      <c r="K165" s="5">
        <v>2619.31</v>
      </c>
      <c r="L165" s="6">
        <v>0</v>
      </c>
      <c r="M165" s="5">
        <v>26193.1</v>
      </c>
      <c r="N165" s="5">
        <v>8953.99</v>
      </c>
      <c r="O165" s="5">
        <v>229.46</v>
      </c>
      <c r="P165" s="2" t="s">
        <v>24</v>
      </c>
    </row>
    <row r="166" spans="1:16" ht="15" customHeight="1" x14ac:dyDescent="0.25">
      <c r="A166" s="2" t="s">
        <v>435</v>
      </c>
      <c r="B166" s="3">
        <v>45447</v>
      </c>
      <c r="C166" s="2" t="s">
        <v>189</v>
      </c>
      <c r="D166" s="2" t="s">
        <v>182</v>
      </c>
      <c r="E166" s="2" t="s">
        <v>19</v>
      </c>
      <c r="F166" s="2" t="s">
        <v>56</v>
      </c>
      <c r="G166" s="2" t="s">
        <v>318</v>
      </c>
      <c r="H166" s="2" t="s">
        <v>319</v>
      </c>
      <c r="I166" s="2" t="s">
        <v>39</v>
      </c>
      <c r="J166" s="4">
        <v>3</v>
      </c>
      <c r="K166" s="5">
        <v>1145.05</v>
      </c>
      <c r="L166" s="6">
        <v>0.15</v>
      </c>
      <c r="M166" s="5">
        <v>2919.88</v>
      </c>
      <c r="N166" s="5">
        <v>836.92</v>
      </c>
      <c r="O166" s="5">
        <v>237.92</v>
      </c>
      <c r="P166" s="2" t="s">
        <v>32</v>
      </c>
    </row>
    <row r="167" spans="1:16" ht="15" customHeight="1" x14ac:dyDescent="0.25">
      <c r="A167" s="2" t="s">
        <v>436</v>
      </c>
      <c r="B167" s="3">
        <v>45392</v>
      </c>
      <c r="C167" s="2" t="s">
        <v>411</v>
      </c>
      <c r="D167" s="2" t="s">
        <v>412</v>
      </c>
      <c r="E167" s="2" t="s">
        <v>28</v>
      </c>
      <c r="F167" s="2" t="s">
        <v>29</v>
      </c>
      <c r="G167" s="2" t="s">
        <v>370</v>
      </c>
      <c r="H167" s="2" t="s">
        <v>371</v>
      </c>
      <c r="I167" s="2" t="s">
        <v>23</v>
      </c>
      <c r="J167" s="4">
        <v>11</v>
      </c>
      <c r="K167" s="5">
        <v>4329.7700000000004</v>
      </c>
      <c r="L167" s="6">
        <v>0</v>
      </c>
      <c r="M167" s="5">
        <v>47627.47</v>
      </c>
      <c r="N167" s="5">
        <v>19941.98</v>
      </c>
      <c r="O167" s="5">
        <v>89.65</v>
      </c>
      <c r="P167" s="2" t="s">
        <v>32</v>
      </c>
    </row>
    <row r="168" spans="1:16" ht="15" customHeight="1" x14ac:dyDescent="0.25">
      <c r="A168" s="2" t="s">
        <v>437</v>
      </c>
      <c r="B168" s="3">
        <v>45595</v>
      </c>
      <c r="C168" s="2" t="s">
        <v>199</v>
      </c>
      <c r="D168" s="2" t="s">
        <v>200</v>
      </c>
      <c r="E168" s="2" t="s">
        <v>19</v>
      </c>
      <c r="F168" s="2" t="s">
        <v>36</v>
      </c>
      <c r="G168" s="2" t="s">
        <v>318</v>
      </c>
      <c r="H168" s="2" t="s">
        <v>319</v>
      </c>
      <c r="I168" s="2" t="s">
        <v>39</v>
      </c>
      <c r="J168" s="4">
        <v>10</v>
      </c>
      <c r="K168" s="5">
        <v>1109.29</v>
      </c>
      <c r="L168" s="6">
        <v>0.15</v>
      </c>
      <c r="M168" s="5">
        <v>9428.9699999999993</v>
      </c>
      <c r="N168" s="5">
        <v>1596.05</v>
      </c>
      <c r="O168" s="5">
        <v>227.46</v>
      </c>
      <c r="P168" s="2" t="s">
        <v>40</v>
      </c>
    </row>
    <row r="169" spans="1:16" ht="15" customHeight="1" x14ac:dyDescent="0.25">
      <c r="A169" s="2" t="s">
        <v>438</v>
      </c>
      <c r="B169" s="3">
        <v>45333</v>
      </c>
      <c r="C169" s="2" t="s">
        <v>178</v>
      </c>
      <c r="D169" s="2" t="s">
        <v>179</v>
      </c>
      <c r="E169" s="2" t="s">
        <v>19</v>
      </c>
      <c r="F169" s="2" t="s">
        <v>29</v>
      </c>
      <c r="G169" s="2" t="s">
        <v>175</v>
      </c>
      <c r="H169" s="2" t="s">
        <v>176</v>
      </c>
      <c r="I169" s="2" t="s">
        <v>23</v>
      </c>
      <c r="J169" s="4">
        <v>1</v>
      </c>
      <c r="K169" s="5">
        <v>4299.33</v>
      </c>
      <c r="L169" s="6">
        <v>0.2</v>
      </c>
      <c r="M169" s="5">
        <v>3439.46</v>
      </c>
      <c r="N169" s="5">
        <v>454.9</v>
      </c>
      <c r="O169" s="5">
        <v>169.76</v>
      </c>
      <c r="P169" s="2" t="s">
        <v>32</v>
      </c>
    </row>
    <row r="170" spans="1:16" ht="15" customHeight="1" x14ac:dyDescent="0.25">
      <c r="A170" s="2" t="s">
        <v>439</v>
      </c>
      <c r="B170" s="3">
        <v>45546</v>
      </c>
      <c r="C170" s="2" t="s">
        <v>131</v>
      </c>
      <c r="D170" s="2" t="s">
        <v>132</v>
      </c>
      <c r="E170" s="2" t="s">
        <v>113</v>
      </c>
      <c r="F170" s="2" t="s">
        <v>20</v>
      </c>
      <c r="G170" s="2" t="s">
        <v>190</v>
      </c>
      <c r="H170" s="2" t="s">
        <v>191</v>
      </c>
      <c r="I170" s="2" t="s">
        <v>39</v>
      </c>
      <c r="J170" s="4">
        <v>11</v>
      </c>
      <c r="K170" s="5">
        <v>2909.66</v>
      </c>
      <c r="L170" s="6">
        <v>0.15</v>
      </c>
      <c r="M170" s="5">
        <v>27205.32</v>
      </c>
      <c r="N170" s="5">
        <v>1947.18</v>
      </c>
      <c r="O170" s="5">
        <v>131.08000000000001</v>
      </c>
      <c r="P170" s="2" t="s">
        <v>88</v>
      </c>
    </row>
    <row r="171" spans="1:16" ht="15" customHeight="1" x14ac:dyDescent="0.25">
      <c r="A171" s="2" t="s">
        <v>440</v>
      </c>
      <c r="B171" s="3">
        <v>45644</v>
      </c>
      <c r="C171" s="2" t="s">
        <v>226</v>
      </c>
      <c r="D171" s="2" t="s">
        <v>227</v>
      </c>
      <c r="E171" s="2" t="s">
        <v>113</v>
      </c>
      <c r="F171" s="2" t="s">
        <v>56</v>
      </c>
      <c r="G171" s="2" t="s">
        <v>193</v>
      </c>
      <c r="H171" s="2" t="s">
        <v>194</v>
      </c>
      <c r="I171" s="2" t="s">
        <v>52</v>
      </c>
      <c r="J171" s="4">
        <v>1</v>
      </c>
      <c r="K171" s="5">
        <v>647.78</v>
      </c>
      <c r="L171" s="6">
        <v>0.05</v>
      </c>
      <c r="M171" s="5">
        <v>615.39</v>
      </c>
      <c r="N171" s="5">
        <v>180.69</v>
      </c>
      <c r="O171" s="5">
        <v>66.930000000000007</v>
      </c>
      <c r="P171" s="2" t="s">
        <v>32</v>
      </c>
    </row>
    <row r="172" spans="1:16" ht="15" customHeight="1" x14ac:dyDescent="0.25">
      <c r="A172" s="2" t="s">
        <v>441</v>
      </c>
      <c r="B172" s="3">
        <v>45468</v>
      </c>
      <c r="C172" s="2" t="s">
        <v>244</v>
      </c>
      <c r="D172" s="2" t="s">
        <v>245</v>
      </c>
      <c r="E172" s="2" t="s">
        <v>19</v>
      </c>
      <c r="F172" s="2" t="s">
        <v>20</v>
      </c>
      <c r="G172" s="2" t="s">
        <v>350</v>
      </c>
      <c r="H172" s="2" t="s">
        <v>351</v>
      </c>
      <c r="I172" s="2" t="s">
        <v>46</v>
      </c>
      <c r="J172" s="4">
        <v>7</v>
      </c>
      <c r="K172" s="5">
        <v>148.07</v>
      </c>
      <c r="L172" s="6">
        <v>0</v>
      </c>
      <c r="M172" s="5">
        <v>1036.49</v>
      </c>
      <c r="N172" s="5">
        <v>332.98</v>
      </c>
      <c r="O172" s="5">
        <v>44.42</v>
      </c>
      <c r="P172" s="2" t="s">
        <v>73</v>
      </c>
    </row>
    <row r="173" spans="1:16" ht="15" customHeight="1" x14ac:dyDescent="0.25">
      <c r="A173" s="2" t="s">
        <v>442</v>
      </c>
      <c r="B173" s="3">
        <v>45522</v>
      </c>
      <c r="C173" s="2" t="s">
        <v>247</v>
      </c>
      <c r="D173" s="2" t="s">
        <v>248</v>
      </c>
      <c r="E173" s="2" t="s">
        <v>113</v>
      </c>
      <c r="F173" s="2" t="s">
        <v>29</v>
      </c>
      <c r="G173" s="2" t="s">
        <v>370</v>
      </c>
      <c r="H173" s="2" t="s">
        <v>371</v>
      </c>
      <c r="I173" s="2" t="s">
        <v>23</v>
      </c>
      <c r="J173" s="4">
        <v>4</v>
      </c>
      <c r="K173" s="5">
        <v>1149.42</v>
      </c>
      <c r="L173" s="6">
        <v>0</v>
      </c>
      <c r="M173" s="5">
        <v>4597.68</v>
      </c>
      <c r="N173" s="5">
        <v>1735.38</v>
      </c>
      <c r="O173" s="5">
        <v>108.35</v>
      </c>
      <c r="P173" s="2" t="s">
        <v>32</v>
      </c>
    </row>
    <row r="174" spans="1:16" ht="15" customHeight="1" x14ac:dyDescent="0.25">
      <c r="A174" s="2" t="s">
        <v>443</v>
      </c>
      <c r="B174" s="3">
        <v>45459</v>
      </c>
      <c r="C174" s="2" t="s">
        <v>131</v>
      </c>
      <c r="D174" s="2" t="s">
        <v>132</v>
      </c>
      <c r="E174" s="2" t="s">
        <v>113</v>
      </c>
      <c r="F174" s="2" t="s">
        <v>20</v>
      </c>
      <c r="G174" s="2" t="s">
        <v>86</v>
      </c>
      <c r="H174" s="2" t="s">
        <v>87</v>
      </c>
      <c r="I174" s="2" t="s">
        <v>59</v>
      </c>
      <c r="J174" s="4">
        <v>10</v>
      </c>
      <c r="K174" s="5">
        <v>6824.8</v>
      </c>
      <c r="L174" s="6">
        <v>0</v>
      </c>
      <c r="M174" s="5">
        <v>68248</v>
      </c>
      <c r="N174" s="5">
        <v>17691.22</v>
      </c>
      <c r="O174" s="5">
        <v>134.6</v>
      </c>
      <c r="P174" s="2" t="s">
        <v>32</v>
      </c>
    </row>
    <row r="175" spans="1:16" ht="15" customHeight="1" x14ac:dyDescent="0.25">
      <c r="A175" s="2" t="s">
        <v>444</v>
      </c>
      <c r="B175" s="3">
        <v>45546</v>
      </c>
      <c r="C175" s="2" t="s">
        <v>247</v>
      </c>
      <c r="D175" s="2" t="s">
        <v>248</v>
      </c>
      <c r="E175" s="2" t="s">
        <v>113</v>
      </c>
      <c r="F175" s="2" t="s">
        <v>29</v>
      </c>
      <c r="G175" s="2" t="s">
        <v>172</v>
      </c>
      <c r="H175" s="2" t="s">
        <v>173</v>
      </c>
      <c r="I175" s="2" t="s">
        <v>52</v>
      </c>
      <c r="J175" s="4">
        <v>1</v>
      </c>
      <c r="K175" s="5">
        <v>498.11</v>
      </c>
      <c r="L175" s="6">
        <v>0.05</v>
      </c>
      <c r="M175" s="5">
        <v>473.2</v>
      </c>
      <c r="N175" s="5">
        <v>136.30000000000001</v>
      </c>
      <c r="O175" s="5">
        <v>242.34</v>
      </c>
      <c r="P175" s="2" t="s">
        <v>73</v>
      </c>
    </row>
    <row r="176" spans="1:16" ht="15" customHeight="1" x14ac:dyDescent="0.25">
      <c r="A176" s="2" t="s">
        <v>445</v>
      </c>
      <c r="B176" s="3">
        <v>45317</v>
      </c>
      <c r="C176" s="2" t="s">
        <v>99</v>
      </c>
      <c r="D176" s="2" t="s">
        <v>100</v>
      </c>
      <c r="E176" s="2" t="s">
        <v>19</v>
      </c>
      <c r="F176" s="2" t="s">
        <v>36</v>
      </c>
      <c r="G176" s="2" t="s">
        <v>71</v>
      </c>
      <c r="H176" s="2" t="s">
        <v>72</v>
      </c>
      <c r="I176" s="2" t="s">
        <v>46</v>
      </c>
      <c r="J176" s="4">
        <v>5</v>
      </c>
      <c r="K176" s="5">
        <v>421.17</v>
      </c>
      <c r="L176" s="6">
        <v>0.2</v>
      </c>
      <c r="M176" s="5">
        <v>1684.68</v>
      </c>
      <c r="N176" s="5">
        <v>182.02</v>
      </c>
      <c r="O176" s="5">
        <v>128.22999999999999</v>
      </c>
      <c r="P176" s="2" t="s">
        <v>32</v>
      </c>
    </row>
    <row r="177" spans="1:16" ht="15" customHeight="1" x14ac:dyDescent="0.25">
      <c r="A177" s="2" t="s">
        <v>446</v>
      </c>
      <c r="B177" s="3">
        <v>45360</v>
      </c>
      <c r="C177" s="2" t="s">
        <v>48</v>
      </c>
      <c r="D177" s="2" t="s">
        <v>49</v>
      </c>
      <c r="E177" s="2" t="s">
        <v>19</v>
      </c>
      <c r="F177" s="2" t="s">
        <v>29</v>
      </c>
      <c r="G177" s="2" t="s">
        <v>261</v>
      </c>
      <c r="H177" s="2" t="s">
        <v>262</v>
      </c>
      <c r="I177" s="2" t="s">
        <v>23</v>
      </c>
      <c r="J177" s="4">
        <v>5</v>
      </c>
      <c r="K177" s="5">
        <v>3437.28</v>
      </c>
      <c r="L177" s="6">
        <v>0.2</v>
      </c>
      <c r="M177" s="5">
        <v>13749.12</v>
      </c>
      <c r="N177" s="5">
        <v>2563.98</v>
      </c>
      <c r="O177" s="5">
        <v>30.41</v>
      </c>
      <c r="P177" s="2" t="s">
        <v>24</v>
      </c>
    </row>
    <row r="178" spans="1:16" ht="15" customHeight="1" x14ac:dyDescent="0.25">
      <c r="A178" s="2" t="s">
        <v>447</v>
      </c>
      <c r="B178" s="3">
        <v>45477</v>
      </c>
      <c r="C178" s="2" t="s">
        <v>178</v>
      </c>
      <c r="D178" s="2" t="s">
        <v>179</v>
      </c>
      <c r="E178" s="2" t="s">
        <v>19</v>
      </c>
      <c r="F178" s="2" t="s">
        <v>29</v>
      </c>
      <c r="G178" s="2" t="s">
        <v>133</v>
      </c>
      <c r="H178" s="2" t="s">
        <v>134</v>
      </c>
      <c r="I178" s="2" t="s">
        <v>39</v>
      </c>
      <c r="J178" s="4">
        <v>9</v>
      </c>
      <c r="K178" s="5">
        <v>1727.57</v>
      </c>
      <c r="L178" s="6">
        <v>0.05</v>
      </c>
      <c r="M178" s="5">
        <v>14770.72</v>
      </c>
      <c r="N178" s="5">
        <v>4259.1899999999996</v>
      </c>
      <c r="O178" s="5">
        <v>195.81</v>
      </c>
      <c r="P178" s="2" t="s">
        <v>40</v>
      </c>
    </row>
    <row r="179" spans="1:16" ht="15" customHeight="1" x14ac:dyDescent="0.25">
      <c r="A179" s="2" t="s">
        <v>448</v>
      </c>
      <c r="B179" s="3">
        <v>45357</v>
      </c>
      <c r="C179" s="2" t="s">
        <v>284</v>
      </c>
      <c r="D179" s="2" t="s">
        <v>285</v>
      </c>
      <c r="E179" s="2" t="s">
        <v>19</v>
      </c>
      <c r="F179" s="2" t="s">
        <v>107</v>
      </c>
      <c r="G179" s="2" t="s">
        <v>385</v>
      </c>
      <c r="H179" s="2" t="s">
        <v>386</v>
      </c>
      <c r="I179" s="2" t="s">
        <v>39</v>
      </c>
      <c r="J179" s="4">
        <v>2</v>
      </c>
      <c r="K179" s="5">
        <v>2211.96</v>
      </c>
      <c r="L179" s="6">
        <v>0.2</v>
      </c>
      <c r="M179" s="5">
        <v>3539.14</v>
      </c>
      <c r="N179" s="5">
        <v>14.62</v>
      </c>
      <c r="O179" s="5">
        <v>148.30000000000001</v>
      </c>
      <c r="P179" s="2" t="s">
        <v>40</v>
      </c>
    </row>
    <row r="180" spans="1:16" ht="15" customHeight="1" x14ac:dyDescent="0.25">
      <c r="A180" s="2" t="s">
        <v>449</v>
      </c>
      <c r="B180" s="3">
        <v>45552</v>
      </c>
      <c r="C180" s="2" t="s">
        <v>244</v>
      </c>
      <c r="D180" s="2" t="s">
        <v>245</v>
      </c>
      <c r="E180" s="2" t="s">
        <v>19</v>
      </c>
      <c r="F180" s="2" t="s">
        <v>20</v>
      </c>
      <c r="G180" s="2" t="s">
        <v>420</v>
      </c>
      <c r="H180" s="2" t="s">
        <v>421</v>
      </c>
      <c r="I180" s="2" t="s">
        <v>59</v>
      </c>
      <c r="J180" s="4">
        <v>7</v>
      </c>
      <c r="K180" s="5">
        <v>5100.6099999999997</v>
      </c>
      <c r="L180" s="6">
        <v>0</v>
      </c>
      <c r="M180" s="5">
        <v>35704.269999999997</v>
      </c>
      <c r="N180" s="5">
        <v>15719.57</v>
      </c>
      <c r="O180" s="5">
        <v>184.13</v>
      </c>
      <c r="P180" s="2" t="s">
        <v>88</v>
      </c>
    </row>
    <row r="181" spans="1:16" ht="15" customHeight="1" x14ac:dyDescent="0.25">
      <c r="A181" s="2" t="s">
        <v>450</v>
      </c>
      <c r="B181" s="3">
        <v>45602</v>
      </c>
      <c r="C181" s="2" t="s">
        <v>147</v>
      </c>
      <c r="D181" s="2" t="s">
        <v>148</v>
      </c>
      <c r="E181" s="2" t="s">
        <v>19</v>
      </c>
      <c r="F181" s="2" t="s">
        <v>36</v>
      </c>
      <c r="G181" s="2" t="s">
        <v>166</v>
      </c>
      <c r="H181" s="2" t="s">
        <v>167</v>
      </c>
      <c r="I181" s="2" t="s">
        <v>52</v>
      </c>
      <c r="J181" s="4">
        <v>9</v>
      </c>
      <c r="K181" s="5">
        <v>607.52</v>
      </c>
      <c r="L181" s="6">
        <v>0.1</v>
      </c>
      <c r="M181" s="5">
        <v>4920.91</v>
      </c>
      <c r="N181" s="5">
        <v>1478.28</v>
      </c>
      <c r="O181" s="5">
        <v>110.38</v>
      </c>
      <c r="P181" s="2" t="s">
        <v>32</v>
      </c>
    </row>
    <row r="182" spans="1:16" ht="15" customHeight="1" x14ac:dyDescent="0.25">
      <c r="A182" s="2" t="s">
        <v>451</v>
      </c>
      <c r="B182" s="3">
        <v>45551</v>
      </c>
      <c r="C182" s="2" t="s">
        <v>226</v>
      </c>
      <c r="D182" s="2" t="s">
        <v>227</v>
      </c>
      <c r="E182" s="2" t="s">
        <v>113</v>
      </c>
      <c r="F182" s="2" t="s">
        <v>56</v>
      </c>
      <c r="G182" s="2" t="s">
        <v>215</v>
      </c>
      <c r="H182" s="2" t="s">
        <v>216</v>
      </c>
      <c r="I182" s="2" t="s">
        <v>39</v>
      </c>
      <c r="J182" s="4">
        <v>9</v>
      </c>
      <c r="K182" s="5">
        <v>2848.76</v>
      </c>
      <c r="L182" s="6">
        <v>0.15</v>
      </c>
      <c r="M182" s="5">
        <v>21793.01</v>
      </c>
      <c r="N182" s="5">
        <v>4083.47</v>
      </c>
      <c r="O182" s="5">
        <v>129.22999999999999</v>
      </c>
      <c r="P182" s="2" t="s">
        <v>24</v>
      </c>
    </row>
    <row r="183" spans="1:16" ht="15" customHeight="1" x14ac:dyDescent="0.25">
      <c r="A183" s="2" t="s">
        <v>452</v>
      </c>
      <c r="B183" s="3">
        <v>45505</v>
      </c>
      <c r="C183" s="2" t="s">
        <v>378</v>
      </c>
      <c r="D183" s="2" t="s">
        <v>379</v>
      </c>
      <c r="E183" s="2" t="s">
        <v>19</v>
      </c>
      <c r="F183" s="2" t="s">
        <v>29</v>
      </c>
      <c r="G183" s="2" t="s">
        <v>183</v>
      </c>
      <c r="H183" s="2" t="s">
        <v>184</v>
      </c>
      <c r="I183" s="2" t="s">
        <v>46</v>
      </c>
      <c r="J183" s="4">
        <v>10</v>
      </c>
      <c r="K183" s="5">
        <v>280.76</v>
      </c>
      <c r="L183" s="6">
        <v>0.15</v>
      </c>
      <c r="M183" s="5">
        <v>2386.46</v>
      </c>
      <c r="N183" s="5">
        <v>230.15</v>
      </c>
      <c r="O183" s="5">
        <v>164.73</v>
      </c>
      <c r="P183" s="2" t="s">
        <v>32</v>
      </c>
    </row>
    <row r="184" spans="1:16" ht="15" customHeight="1" x14ac:dyDescent="0.25">
      <c r="A184" s="2" t="s">
        <v>453</v>
      </c>
      <c r="B184" s="3">
        <v>45587</v>
      </c>
      <c r="C184" s="2" t="s">
        <v>332</v>
      </c>
      <c r="D184" s="2" t="s">
        <v>333</v>
      </c>
      <c r="E184" s="2" t="s">
        <v>113</v>
      </c>
      <c r="F184" s="2" t="s">
        <v>36</v>
      </c>
      <c r="G184" s="2" t="s">
        <v>196</v>
      </c>
      <c r="H184" s="2" t="s">
        <v>197</v>
      </c>
      <c r="I184" s="2" t="s">
        <v>46</v>
      </c>
      <c r="J184" s="4">
        <v>4</v>
      </c>
      <c r="K184" s="5">
        <v>591.04999999999995</v>
      </c>
      <c r="L184" s="6">
        <v>0.1</v>
      </c>
      <c r="M184" s="5">
        <v>2127.7800000000002</v>
      </c>
      <c r="N184" s="5">
        <v>543.5</v>
      </c>
      <c r="O184" s="5">
        <v>140.57</v>
      </c>
      <c r="P184" s="2" t="s">
        <v>32</v>
      </c>
    </row>
    <row r="185" spans="1:16" ht="15" customHeight="1" x14ac:dyDescent="0.25">
      <c r="A185" s="2" t="s">
        <v>454</v>
      </c>
      <c r="B185" s="3">
        <v>45308</v>
      </c>
      <c r="C185" s="2" t="s">
        <v>236</v>
      </c>
      <c r="D185" s="2" t="s">
        <v>237</v>
      </c>
      <c r="E185" s="2" t="s">
        <v>19</v>
      </c>
      <c r="F185" s="2" t="s">
        <v>107</v>
      </c>
      <c r="G185" s="2" t="s">
        <v>83</v>
      </c>
      <c r="H185" s="2" t="s">
        <v>84</v>
      </c>
      <c r="I185" s="2" t="s">
        <v>59</v>
      </c>
      <c r="J185" s="4">
        <v>10</v>
      </c>
      <c r="K185" s="5">
        <v>8596</v>
      </c>
      <c r="L185" s="6">
        <v>0</v>
      </c>
      <c r="M185" s="5">
        <v>85960</v>
      </c>
      <c r="N185" s="5">
        <v>34582.04</v>
      </c>
      <c r="O185" s="5">
        <v>121.44</v>
      </c>
      <c r="P185" s="2" t="s">
        <v>88</v>
      </c>
    </row>
    <row r="186" spans="1:16" ht="15" customHeight="1" x14ac:dyDescent="0.25">
      <c r="A186" s="2" t="s">
        <v>455</v>
      </c>
      <c r="B186" s="3">
        <v>45502</v>
      </c>
      <c r="C186" s="2" t="s">
        <v>64</v>
      </c>
      <c r="D186" s="2" t="s">
        <v>65</v>
      </c>
      <c r="E186" s="2" t="s">
        <v>28</v>
      </c>
      <c r="F186" s="2" t="s">
        <v>20</v>
      </c>
      <c r="G186" s="2" t="s">
        <v>149</v>
      </c>
      <c r="H186" s="2" t="s">
        <v>150</v>
      </c>
      <c r="I186" s="2" t="s">
        <v>52</v>
      </c>
      <c r="J186" s="4">
        <v>9</v>
      </c>
      <c r="K186" s="5">
        <v>2004.94</v>
      </c>
      <c r="L186" s="6">
        <v>0.05</v>
      </c>
      <c r="M186" s="5">
        <v>17142.240000000002</v>
      </c>
      <c r="N186" s="5">
        <v>3280.41</v>
      </c>
      <c r="O186" s="5">
        <v>189.24</v>
      </c>
      <c r="P186" s="2" t="s">
        <v>24</v>
      </c>
    </row>
    <row r="187" spans="1:16" ht="15" customHeight="1" x14ac:dyDescent="0.25">
      <c r="A187" s="2" t="s">
        <v>456</v>
      </c>
      <c r="B187" s="3">
        <v>45579</v>
      </c>
      <c r="C187" s="2" t="s">
        <v>139</v>
      </c>
      <c r="D187" s="2" t="s">
        <v>140</v>
      </c>
      <c r="E187" s="2" t="s">
        <v>113</v>
      </c>
      <c r="F187" s="2" t="s">
        <v>20</v>
      </c>
      <c r="G187" s="2" t="s">
        <v>133</v>
      </c>
      <c r="H187" s="2" t="s">
        <v>134</v>
      </c>
      <c r="I187" s="2" t="s">
        <v>39</v>
      </c>
      <c r="J187" s="4">
        <v>6</v>
      </c>
      <c r="K187" s="5">
        <v>4991.37</v>
      </c>
      <c r="L187" s="6">
        <v>0.05</v>
      </c>
      <c r="M187" s="5">
        <v>28450.81</v>
      </c>
      <c r="N187" s="5">
        <v>8045.01</v>
      </c>
      <c r="O187" s="5">
        <v>92.16</v>
      </c>
      <c r="P187" s="2" t="s">
        <v>73</v>
      </c>
    </row>
    <row r="188" spans="1:16" ht="15" customHeight="1" x14ac:dyDescent="0.25">
      <c r="A188" s="2" t="s">
        <v>457</v>
      </c>
      <c r="B188" s="3">
        <v>45571</v>
      </c>
      <c r="C188" s="2" t="s">
        <v>281</v>
      </c>
      <c r="D188" s="2" t="s">
        <v>282</v>
      </c>
      <c r="E188" s="2" t="s">
        <v>19</v>
      </c>
      <c r="F188" s="2" t="s">
        <v>29</v>
      </c>
      <c r="G188" s="2" t="s">
        <v>215</v>
      </c>
      <c r="H188" s="2" t="s">
        <v>216</v>
      </c>
      <c r="I188" s="2" t="s">
        <v>39</v>
      </c>
      <c r="J188" s="4">
        <v>6</v>
      </c>
      <c r="K188" s="5">
        <v>3509</v>
      </c>
      <c r="L188" s="6">
        <v>0.2</v>
      </c>
      <c r="M188" s="5">
        <v>16843.2</v>
      </c>
      <c r="N188" s="5">
        <v>1468.91</v>
      </c>
      <c r="O188" s="5">
        <v>167.96</v>
      </c>
      <c r="P188" s="2" t="s">
        <v>40</v>
      </c>
    </row>
    <row r="189" spans="1:16" ht="15" customHeight="1" x14ac:dyDescent="0.25">
      <c r="A189" s="2" t="s">
        <v>458</v>
      </c>
      <c r="B189" s="3">
        <v>45418</v>
      </c>
      <c r="C189" s="2" t="s">
        <v>312</v>
      </c>
      <c r="D189" s="2" t="s">
        <v>313</v>
      </c>
      <c r="E189" s="2" t="s">
        <v>19</v>
      </c>
      <c r="F189" s="2" t="s">
        <v>56</v>
      </c>
      <c r="G189" s="2" t="s">
        <v>149</v>
      </c>
      <c r="H189" s="2" t="s">
        <v>150</v>
      </c>
      <c r="I189" s="2" t="s">
        <v>52</v>
      </c>
      <c r="J189" s="4">
        <v>5</v>
      </c>
      <c r="K189" s="5">
        <v>1527.79</v>
      </c>
      <c r="L189" s="6">
        <v>0</v>
      </c>
      <c r="M189" s="5">
        <v>7638.95</v>
      </c>
      <c r="N189" s="5">
        <v>1639.54</v>
      </c>
      <c r="O189" s="5">
        <v>245.92</v>
      </c>
      <c r="P189" s="2" t="s">
        <v>40</v>
      </c>
    </row>
    <row r="190" spans="1:16" ht="15" customHeight="1" x14ac:dyDescent="0.25">
      <c r="A190" s="2" t="s">
        <v>459</v>
      </c>
      <c r="B190" s="3">
        <v>45537</v>
      </c>
      <c r="C190" s="2" t="s">
        <v>42</v>
      </c>
      <c r="D190" s="2" t="s">
        <v>43</v>
      </c>
      <c r="E190" s="2" t="s">
        <v>19</v>
      </c>
      <c r="F190" s="2" t="s">
        <v>36</v>
      </c>
      <c r="G190" s="2" t="s">
        <v>309</v>
      </c>
      <c r="H190" s="2" t="s">
        <v>310</v>
      </c>
      <c r="I190" s="2" t="s">
        <v>52</v>
      </c>
      <c r="J190" s="4">
        <v>6</v>
      </c>
      <c r="K190" s="5">
        <v>1533.07</v>
      </c>
      <c r="L190" s="6">
        <v>0.2</v>
      </c>
      <c r="M190" s="5">
        <v>7358.74</v>
      </c>
      <c r="N190" s="5">
        <v>640.07000000000005</v>
      </c>
      <c r="O190" s="5">
        <v>86.19</v>
      </c>
      <c r="P190" s="2" t="s">
        <v>32</v>
      </c>
    </row>
    <row r="191" spans="1:16" ht="15" customHeight="1" x14ac:dyDescent="0.25">
      <c r="A191" s="2" t="s">
        <v>460</v>
      </c>
      <c r="B191" s="3">
        <v>45468</v>
      </c>
      <c r="C191" s="2" t="s">
        <v>17</v>
      </c>
      <c r="D191" s="2" t="s">
        <v>18</v>
      </c>
      <c r="E191" s="2" t="s">
        <v>19</v>
      </c>
      <c r="F191" s="2" t="s">
        <v>20</v>
      </c>
      <c r="G191" s="2" t="s">
        <v>153</v>
      </c>
      <c r="H191" s="2" t="s">
        <v>154</v>
      </c>
      <c r="I191" s="2" t="s">
        <v>52</v>
      </c>
      <c r="J191" s="4">
        <v>3</v>
      </c>
      <c r="K191" s="5">
        <v>939</v>
      </c>
      <c r="L191" s="6">
        <v>0</v>
      </c>
      <c r="M191" s="5">
        <v>2817</v>
      </c>
      <c r="N191" s="5">
        <v>594.87</v>
      </c>
      <c r="O191" s="5">
        <v>38.18</v>
      </c>
      <c r="P191" s="2" t="s">
        <v>88</v>
      </c>
    </row>
    <row r="192" spans="1:16" ht="15" customHeight="1" x14ac:dyDescent="0.25">
      <c r="A192" s="2" t="s">
        <v>461</v>
      </c>
      <c r="B192" s="3">
        <v>45395</v>
      </c>
      <c r="C192" s="2" t="s">
        <v>303</v>
      </c>
      <c r="D192" s="2" t="s">
        <v>304</v>
      </c>
      <c r="E192" s="2" t="s">
        <v>19</v>
      </c>
      <c r="F192" s="2" t="s">
        <v>56</v>
      </c>
      <c r="G192" s="2" t="s">
        <v>149</v>
      </c>
      <c r="H192" s="2" t="s">
        <v>150</v>
      </c>
      <c r="I192" s="2" t="s">
        <v>52</v>
      </c>
      <c r="J192" s="4">
        <v>9</v>
      </c>
      <c r="K192" s="5">
        <v>896.49</v>
      </c>
      <c r="L192" s="6">
        <v>0.1</v>
      </c>
      <c r="M192" s="5">
        <v>7261.57</v>
      </c>
      <c r="N192" s="5">
        <v>1419.7</v>
      </c>
      <c r="O192" s="5">
        <v>51.57</v>
      </c>
      <c r="P192" s="2" t="s">
        <v>32</v>
      </c>
    </row>
    <row r="193" spans="1:16" ht="15" customHeight="1" x14ac:dyDescent="0.25">
      <c r="A193" s="2" t="s">
        <v>462</v>
      </c>
      <c r="B193" s="3">
        <v>45317</v>
      </c>
      <c r="C193" s="2" t="s">
        <v>330</v>
      </c>
      <c r="D193" s="2" t="s">
        <v>248</v>
      </c>
      <c r="E193" s="2" t="s">
        <v>19</v>
      </c>
      <c r="F193" s="2" t="s">
        <v>36</v>
      </c>
      <c r="G193" s="2" t="s">
        <v>83</v>
      </c>
      <c r="H193" s="2" t="s">
        <v>84</v>
      </c>
      <c r="I193" s="2" t="s">
        <v>59</v>
      </c>
      <c r="J193" s="4">
        <v>11</v>
      </c>
      <c r="K193" s="5">
        <v>8260.44</v>
      </c>
      <c r="L193" s="6">
        <v>0</v>
      </c>
      <c r="M193" s="5">
        <v>90864.84</v>
      </c>
      <c r="N193" s="5">
        <v>26397.5</v>
      </c>
      <c r="O193" s="5">
        <v>32.07</v>
      </c>
      <c r="P193" s="2" t="s">
        <v>88</v>
      </c>
    </row>
    <row r="194" spans="1:16" ht="15" customHeight="1" x14ac:dyDescent="0.25">
      <c r="A194" s="2" t="s">
        <v>463</v>
      </c>
      <c r="B194" s="3">
        <v>45640</v>
      </c>
      <c r="C194" s="2" t="s">
        <v>381</v>
      </c>
      <c r="D194" s="2" t="s">
        <v>382</v>
      </c>
      <c r="E194" s="2" t="s">
        <v>19</v>
      </c>
      <c r="F194" s="2" t="s">
        <v>20</v>
      </c>
      <c r="G194" s="2" t="s">
        <v>193</v>
      </c>
      <c r="H194" s="2" t="s">
        <v>194</v>
      </c>
      <c r="I194" s="2" t="s">
        <v>52</v>
      </c>
      <c r="J194" s="4">
        <v>3</v>
      </c>
      <c r="K194" s="5">
        <v>311.39999999999998</v>
      </c>
      <c r="L194" s="6">
        <v>0.1</v>
      </c>
      <c r="M194" s="5">
        <v>840.78</v>
      </c>
      <c r="N194" s="5">
        <v>98.58</v>
      </c>
      <c r="O194" s="5">
        <v>56.33</v>
      </c>
      <c r="P194" s="2" t="s">
        <v>88</v>
      </c>
    </row>
    <row r="195" spans="1:16" ht="15" customHeight="1" x14ac:dyDescent="0.25">
      <c r="A195" s="2" t="s">
        <v>464</v>
      </c>
      <c r="B195" s="3">
        <v>45456</v>
      </c>
      <c r="C195" s="2" t="s">
        <v>232</v>
      </c>
      <c r="D195" s="2" t="s">
        <v>233</v>
      </c>
      <c r="E195" s="2" t="s">
        <v>19</v>
      </c>
      <c r="F195" s="2" t="s">
        <v>107</v>
      </c>
      <c r="G195" s="2" t="s">
        <v>239</v>
      </c>
      <c r="H195" s="2" t="s">
        <v>240</v>
      </c>
      <c r="I195" s="2" t="s">
        <v>59</v>
      </c>
      <c r="J195" s="4">
        <v>5</v>
      </c>
      <c r="K195" s="5">
        <v>6238</v>
      </c>
      <c r="L195" s="6">
        <v>0.2</v>
      </c>
      <c r="M195" s="5">
        <v>24952</v>
      </c>
      <c r="N195" s="5">
        <v>7099.93</v>
      </c>
      <c r="O195" s="5">
        <v>152.05000000000001</v>
      </c>
      <c r="P195" s="2" t="s">
        <v>32</v>
      </c>
    </row>
    <row r="196" spans="1:16" ht="15" customHeight="1" x14ac:dyDescent="0.25">
      <c r="A196" s="2" t="s">
        <v>465</v>
      </c>
      <c r="B196" s="3">
        <v>45382</v>
      </c>
      <c r="C196" s="2" t="s">
        <v>315</v>
      </c>
      <c r="D196" s="2" t="s">
        <v>316</v>
      </c>
      <c r="E196" s="2" t="s">
        <v>28</v>
      </c>
      <c r="F196" s="2" t="s">
        <v>107</v>
      </c>
      <c r="G196" s="2" t="s">
        <v>466</v>
      </c>
      <c r="H196" s="2" t="s">
        <v>467</v>
      </c>
      <c r="I196" s="2" t="s">
        <v>59</v>
      </c>
      <c r="J196" s="4">
        <v>1</v>
      </c>
      <c r="K196" s="5">
        <v>8977.94</v>
      </c>
      <c r="L196" s="6">
        <v>0.05</v>
      </c>
      <c r="M196" s="5">
        <v>8529.0400000000009</v>
      </c>
      <c r="N196" s="5">
        <v>1822.61</v>
      </c>
      <c r="O196" s="5">
        <v>62.85</v>
      </c>
      <c r="P196" s="2" t="s">
        <v>40</v>
      </c>
    </row>
    <row r="197" spans="1:16" ht="15" customHeight="1" x14ac:dyDescent="0.25">
      <c r="A197" s="2" t="s">
        <v>468</v>
      </c>
      <c r="B197" s="3">
        <v>45582</v>
      </c>
      <c r="C197" s="2" t="s">
        <v>315</v>
      </c>
      <c r="D197" s="2" t="s">
        <v>316</v>
      </c>
      <c r="E197" s="2" t="s">
        <v>28</v>
      </c>
      <c r="F197" s="2" t="s">
        <v>107</v>
      </c>
      <c r="G197" s="2" t="s">
        <v>370</v>
      </c>
      <c r="H197" s="2" t="s">
        <v>371</v>
      </c>
      <c r="I197" s="2" t="s">
        <v>23</v>
      </c>
      <c r="J197" s="4">
        <v>10</v>
      </c>
      <c r="K197" s="5">
        <v>1018.47</v>
      </c>
      <c r="L197" s="6">
        <v>0</v>
      </c>
      <c r="M197" s="5">
        <v>10184.700000000001</v>
      </c>
      <c r="N197" s="5">
        <v>3858.57</v>
      </c>
      <c r="O197" s="5">
        <v>247.49</v>
      </c>
      <c r="P197" s="2" t="s">
        <v>32</v>
      </c>
    </row>
    <row r="198" spans="1:16" ht="15" customHeight="1" x14ac:dyDescent="0.25">
      <c r="A198" s="2" t="s">
        <v>469</v>
      </c>
      <c r="B198" s="3">
        <v>45550</v>
      </c>
      <c r="C198" s="2" t="s">
        <v>430</v>
      </c>
      <c r="D198" s="2" t="s">
        <v>431</v>
      </c>
      <c r="E198" s="2" t="s">
        <v>19</v>
      </c>
      <c r="F198" s="2" t="s">
        <v>56</v>
      </c>
      <c r="G198" s="2" t="s">
        <v>166</v>
      </c>
      <c r="H198" s="2" t="s">
        <v>167</v>
      </c>
      <c r="I198" s="2" t="s">
        <v>52</v>
      </c>
      <c r="J198" s="4">
        <v>8</v>
      </c>
      <c r="K198" s="5">
        <v>900.24</v>
      </c>
      <c r="L198" s="6">
        <v>0.2</v>
      </c>
      <c r="M198" s="5">
        <v>5761.54</v>
      </c>
      <c r="N198" s="5">
        <v>1597.67</v>
      </c>
      <c r="O198" s="5">
        <v>57.37</v>
      </c>
      <c r="P198" s="2" t="s">
        <v>88</v>
      </c>
    </row>
    <row r="199" spans="1:16" ht="15" customHeight="1" x14ac:dyDescent="0.25">
      <c r="A199" s="2" t="s">
        <v>470</v>
      </c>
      <c r="B199" s="3">
        <v>45464</v>
      </c>
      <c r="C199" s="2" t="s">
        <v>303</v>
      </c>
      <c r="D199" s="2" t="s">
        <v>304</v>
      </c>
      <c r="E199" s="2" t="s">
        <v>19</v>
      </c>
      <c r="F199" s="2" t="s">
        <v>56</v>
      </c>
      <c r="G199" s="2" t="s">
        <v>471</v>
      </c>
      <c r="H199" s="2" t="s">
        <v>472</v>
      </c>
      <c r="I199" s="2" t="s">
        <v>59</v>
      </c>
      <c r="J199" s="4">
        <v>5</v>
      </c>
      <c r="K199" s="5">
        <v>5628.69</v>
      </c>
      <c r="L199" s="6">
        <v>0.2</v>
      </c>
      <c r="M199" s="5">
        <v>22514.76</v>
      </c>
      <c r="N199" s="5">
        <v>5676.81</v>
      </c>
      <c r="O199" s="5">
        <v>160.52000000000001</v>
      </c>
      <c r="P199" s="2" t="s">
        <v>88</v>
      </c>
    </row>
    <row r="200" spans="1:16" ht="15" customHeight="1" x14ac:dyDescent="0.25">
      <c r="A200" s="2" t="s">
        <v>473</v>
      </c>
      <c r="B200" s="3">
        <v>45336</v>
      </c>
      <c r="C200" s="2" t="s">
        <v>136</v>
      </c>
      <c r="D200" s="2" t="s">
        <v>137</v>
      </c>
      <c r="E200" s="2" t="s">
        <v>113</v>
      </c>
      <c r="F200" s="2" t="s">
        <v>29</v>
      </c>
      <c r="G200" s="2" t="s">
        <v>215</v>
      </c>
      <c r="H200" s="2" t="s">
        <v>216</v>
      </c>
      <c r="I200" s="2" t="s">
        <v>39</v>
      </c>
      <c r="J200" s="4">
        <v>7</v>
      </c>
      <c r="K200" s="5">
        <v>3478.58</v>
      </c>
      <c r="L200" s="6">
        <v>0</v>
      </c>
      <c r="M200" s="5">
        <v>24350.06</v>
      </c>
      <c r="N200" s="5">
        <v>4981.5</v>
      </c>
      <c r="O200" s="5">
        <v>129.81</v>
      </c>
      <c r="P200" s="2" t="s">
        <v>73</v>
      </c>
    </row>
    <row r="201" spans="1:16" ht="15" customHeight="1" x14ac:dyDescent="0.25">
      <c r="A201" s="2" t="s">
        <v>474</v>
      </c>
      <c r="B201" s="3">
        <v>45412</v>
      </c>
      <c r="C201" s="2" t="s">
        <v>475</v>
      </c>
      <c r="D201" s="2" t="s">
        <v>476</v>
      </c>
      <c r="E201" s="2" t="s">
        <v>19</v>
      </c>
      <c r="F201" s="2" t="s">
        <v>20</v>
      </c>
      <c r="G201" s="2" t="s">
        <v>108</v>
      </c>
      <c r="H201" s="2" t="s">
        <v>109</v>
      </c>
      <c r="I201" s="2" t="s">
        <v>46</v>
      </c>
      <c r="J201" s="4">
        <v>8</v>
      </c>
      <c r="K201" s="5">
        <v>615.32000000000005</v>
      </c>
      <c r="L201" s="6">
        <v>0</v>
      </c>
      <c r="M201" s="5">
        <v>4922.5600000000004</v>
      </c>
      <c r="N201" s="5">
        <v>1843.57</v>
      </c>
      <c r="O201" s="5">
        <v>186.26</v>
      </c>
      <c r="P201" s="2" t="s">
        <v>24</v>
      </c>
    </row>
    <row r="202" spans="1:16" ht="15" customHeight="1" x14ac:dyDescent="0.25">
      <c r="A202" s="2" t="s">
        <v>477</v>
      </c>
      <c r="B202" s="3">
        <v>45323</v>
      </c>
      <c r="C202" s="2" t="s">
        <v>75</v>
      </c>
      <c r="D202" s="2" t="s">
        <v>76</v>
      </c>
      <c r="E202" s="2" t="s">
        <v>28</v>
      </c>
      <c r="F202" s="2" t="s">
        <v>36</v>
      </c>
      <c r="G202" s="2" t="s">
        <v>44</v>
      </c>
      <c r="H202" s="2" t="s">
        <v>45</v>
      </c>
      <c r="I202" s="2" t="s">
        <v>46</v>
      </c>
      <c r="J202" s="4">
        <v>11</v>
      </c>
      <c r="K202" s="5">
        <v>138.66999999999999</v>
      </c>
      <c r="L202" s="6">
        <v>0</v>
      </c>
      <c r="M202" s="5">
        <v>1525.37</v>
      </c>
      <c r="N202" s="5">
        <v>625.51</v>
      </c>
      <c r="O202" s="5">
        <v>177.8</v>
      </c>
      <c r="P202" s="2" t="s">
        <v>40</v>
      </c>
    </row>
    <row r="203" spans="1:16" ht="15" customHeight="1" x14ac:dyDescent="0.25">
      <c r="A203" s="2" t="s">
        <v>478</v>
      </c>
      <c r="B203" s="3">
        <v>45606</v>
      </c>
      <c r="C203" s="2" t="s">
        <v>189</v>
      </c>
      <c r="D203" s="2" t="s">
        <v>182</v>
      </c>
      <c r="E203" s="2" t="s">
        <v>19</v>
      </c>
      <c r="F203" s="2" t="s">
        <v>56</v>
      </c>
      <c r="G203" s="2" t="s">
        <v>350</v>
      </c>
      <c r="H203" s="2" t="s">
        <v>351</v>
      </c>
      <c r="I203" s="2" t="s">
        <v>46</v>
      </c>
      <c r="J203" s="4">
        <v>4</v>
      </c>
      <c r="K203" s="5">
        <v>214.35</v>
      </c>
      <c r="L203" s="6">
        <v>0</v>
      </c>
      <c r="M203" s="5">
        <v>857.4</v>
      </c>
      <c r="N203" s="5">
        <v>283.33</v>
      </c>
      <c r="O203" s="5">
        <v>124.65</v>
      </c>
      <c r="P203" s="2" t="s">
        <v>32</v>
      </c>
    </row>
    <row r="204" spans="1:16" ht="15" customHeight="1" x14ac:dyDescent="0.25">
      <c r="A204" s="2" t="s">
        <v>479</v>
      </c>
      <c r="B204" s="3">
        <v>45533</v>
      </c>
      <c r="C204" s="2" t="s">
        <v>378</v>
      </c>
      <c r="D204" s="2" t="s">
        <v>379</v>
      </c>
      <c r="E204" s="2" t="s">
        <v>19</v>
      </c>
      <c r="F204" s="2" t="s">
        <v>29</v>
      </c>
      <c r="G204" s="2" t="s">
        <v>141</v>
      </c>
      <c r="H204" s="2" t="s">
        <v>142</v>
      </c>
      <c r="I204" s="2" t="s">
        <v>52</v>
      </c>
      <c r="J204" s="4">
        <v>9</v>
      </c>
      <c r="K204" s="5">
        <v>2064.39</v>
      </c>
      <c r="L204" s="6">
        <v>0.2</v>
      </c>
      <c r="M204" s="5">
        <v>14863.61</v>
      </c>
      <c r="N204" s="5">
        <v>3630.38</v>
      </c>
      <c r="O204" s="5">
        <v>76.92</v>
      </c>
      <c r="P204" s="2" t="s">
        <v>32</v>
      </c>
    </row>
    <row r="205" spans="1:16" ht="15" customHeight="1" x14ac:dyDescent="0.25">
      <c r="A205" s="2" t="s">
        <v>480</v>
      </c>
      <c r="B205" s="3">
        <v>45562</v>
      </c>
      <c r="C205" s="2" t="s">
        <v>123</v>
      </c>
      <c r="D205" s="2" t="s">
        <v>124</v>
      </c>
      <c r="E205" s="2" t="s">
        <v>113</v>
      </c>
      <c r="F205" s="2" t="s">
        <v>20</v>
      </c>
      <c r="G205" s="2" t="s">
        <v>144</v>
      </c>
      <c r="H205" s="2" t="s">
        <v>145</v>
      </c>
      <c r="I205" s="2" t="s">
        <v>39</v>
      </c>
      <c r="J205" s="4">
        <v>12</v>
      </c>
      <c r="K205" s="5">
        <v>2064.21</v>
      </c>
      <c r="L205" s="6">
        <v>0.1</v>
      </c>
      <c r="M205" s="5">
        <v>22293.47</v>
      </c>
      <c r="N205" s="5">
        <v>7974.82</v>
      </c>
      <c r="O205" s="5">
        <v>210.62</v>
      </c>
      <c r="P205" s="2" t="s">
        <v>32</v>
      </c>
    </row>
    <row r="206" spans="1:16" ht="15" customHeight="1" x14ac:dyDescent="0.25">
      <c r="A206" s="2" t="s">
        <v>481</v>
      </c>
      <c r="B206" s="3">
        <v>45368</v>
      </c>
      <c r="C206" s="2" t="s">
        <v>105</v>
      </c>
      <c r="D206" s="2" t="s">
        <v>106</v>
      </c>
      <c r="E206" s="2" t="s">
        <v>19</v>
      </c>
      <c r="F206" s="2" t="s">
        <v>107</v>
      </c>
      <c r="G206" s="2" t="s">
        <v>223</v>
      </c>
      <c r="H206" s="2" t="s">
        <v>224</v>
      </c>
      <c r="I206" s="2" t="s">
        <v>39</v>
      </c>
      <c r="J206" s="4">
        <v>3</v>
      </c>
      <c r="K206" s="5">
        <v>1909.34</v>
      </c>
      <c r="L206" s="6">
        <v>0.1</v>
      </c>
      <c r="M206" s="5">
        <v>5155.22</v>
      </c>
      <c r="N206" s="5">
        <v>1372.09</v>
      </c>
      <c r="O206" s="5">
        <v>176.47</v>
      </c>
      <c r="P206" s="2" t="s">
        <v>32</v>
      </c>
    </row>
    <row r="207" spans="1:16" ht="15" customHeight="1" x14ac:dyDescent="0.25">
      <c r="A207" s="2" t="s">
        <v>482</v>
      </c>
      <c r="B207" s="3">
        <v>45520</v>
      </c>
      <c r="C207" s="2" t="s">
        <v>69</v>
      </c>
      <c r="D207" s="2" t="s">
        <v>70</v>
      </c>
      <c r="E207" s="2" t="s">
        <v>19</v>
      </c>
      <c r="F207" s="2" t="s">
        <v>36</v>
      </c>
      <c r="G207" s="2" t="s">
        <v>228</v>
      </c>
      <c r="H207" s="2" t="s">
        <v>229</v>
      </c>
      <c r="I207" s="2" t="s">
        <v>23</v>
      </c>
      <c r="J207" s="4">
        <v>1</v>
      </c>
      <c r="K207" s="5">
        <v>2368.39</v>
      </c>
      <c r="L207" s="6">
        <v>0.1</v>
      </c>
      <c r="M207" s="5">
        <v>2131.5500000000002</v>
      </c>
      <c r="N207" s="5">
        <v>582.96</v>
      </c>
      <c r="O207" s="5">
        <v>149.69999999999999</v>
      </c>
      <c r="P207" s="2" t="s">
        <v>32</v>
      </c>
    </row>
    <row r="208" spans="1:16" ht="15" customHeight="1" x14ac:dyDescent="0.25">
      <c r="A208" s="2" t="s">
        <v>483</v>
      </c>
      <c r="B208" s="3">
        <v>45494</v>
      </c>
      <c r="C208" s="2" t="s">
        <v>247</v>
      </c>
      <c r="D208" s="2" t="s">
        <v>248</v>
      </c>
      <c r="E208" s="2" t="s">
        <v>113</v>
      </c>
      <c r="F208" s="2" t="s">
        <v>29</v>
      </c>
      <c r="G208" s="2" t="s">
        <v>71</v>
      </c>
      <c r="H208" s="2" t="s">
        <v>72</v>
      </c>
      <c r="I208" s="2" t="s">
        <v>46</v>
      </c>
      <c r="J208" s="4">
        <v>5</v>
      </c>
      <c r="K208" s="5">
        <v>662.34</v>
      </c>
      <c r="L208" s="6">
        <v>0.15</v>
      </c>
      <c r="M208" s="5">
        <v>2814.95</v>
      </c>
      <c r="N208" s="5">
        <v>813.11</v>
      </c>
      <c r="O208" s="5">
        <v>36.799999999999997</v>
      </c>
      <c r="P208" s="2" t="s">
        <v>88</v>
      </c>
    </row>
    <row r="209" spans="1:16" ht="15" customHeight="1" x14ac:dyDescent="0.25">
      <c r="A209" s="2" t="s">
        <v>484</v>
      </c>
      <c r="B209" s="3">
        <v>45322</v>
      </c>
      <c r="C209" s="2" t="s">
        <v>93</v>
      </c>
      <c r="D209" s="2" t="s">
        <v>94</v>
      </c>
      <c r="E209" s="2" t="s">
        <v>28</v>
      </c>
      <c r="F209" s="2" t="s">
        <v>20</v>
      </c>
      <c r="G209" s="2" t="s">
        <v>228</v>
      </c>
      <c r="H209" s="2" t="s">
        <v>229</v>
      </c>
      <c r="I209" s="2" t="s">
        <v>23</v>
      </c>
      <c r="J209" s="4">
        <v>2</v>
      </c>
      <c r="K209" s="5">
        <v>4445.9399999999996</v>
      </c>
      <c r="L209" s="6">
        <v>0.05</v>
      </c>
      <c r="M209" s="5">
        <v>8447.2900000000009</v>
      </c>
      <c r="N209" s="5">
        <v>3486.21</v>
      </c>
      <c r="O209" s="5">
        <v>114.04</v>
      </c>
      <c r="P209" s="2" t="s">
        <v>73</v>
      </c>
    </row>
    <row r="210" spans="1:16" ht="15" customHeight="1" x14ac:dyDescent="0.25">
      <c r="A210" s="2" t="s">
        <v>485</v>
      </c>
      <c r="B210" s="3">
        <v>45521</v>
      </c>
      <c r="C210" s="2" t="s">
        <v>131</v>
      </c>
      <c r="D210" s="2" t="s">
        <v>132</v>
      </c>
      <c r="E210" s="2" t="s">
        <v>113</v>
      </c>
      <c r="F210" s="2" t="s">
        <v>20</v>
      </c>
      <c r="G210" s="2" t="s">
        <v>108</v>
      </c>
      <c r="H210" s="2" t="s">
        <v>109</v>
      </c>
      <c r="I210" s="2" t="s">
        <v>46</v>
      </c>
      <c r="J210" s="4">
        <v>7</v>
      </c>
      <c r="K210" s="5">
        <v>331.73</v>
      </c>
      <c r="L210" s="6">
        <v>0.15</v>
      </c>
      <c r="M210" s="5">
        <v>1973.79</v>
      </c>
      <c r="N210" s="5">
        <v>136.91999999999999</v>
      </c>
      <c r="O210" s="5">
        <v>221.15</v>
      </c>
      <c r="P210" s="2" t="s">
        <v>73</v>
      </c>
    </row>
    <row r="211" spans="1:16" ht="15" customHeight="1" x14ac:dyDescent="0.25">
      <c r="A211" s="2" t="s">
        <v>486</v>
      </c>
      <c r="B211" s="3">
        <v>45567</v>
      </c>
      <c r="C211" s="2" t="s">
        <v>93</v>
      </c>
      <c r="D211" s="2" t="s">
        <v>94</v>
      </c>
      <c r="E211" s="2" t="s">
        <v>28</v>
      </c>
      <c r="F211" s="2" t="s">
        <v>20</v>
      </c>
      <c r="G211" s="2" t="s">
        <v>30</v>
      </c>
      <c r="H211" s="2" t="s">
        <v>31</v>
      </c>
      <c r="I211" s="2" t="s">
        <v>23</v>
      </c>
      <c r="J211" s="4">
        <v>7</v>
      </c>
      <c r="K211" s="5">
        <v>2662.49</v>
      </c>
      <c r="L211" s="6">
        <v>0.15</v>
      </c>
      <c r="M211" s="5">
        <v>15841.82</v>
      </c>
      <c r="N211" s="5">
        <v>1031.01</v>
      </c>
      <c r="O211" s="5">
        <v>212.01</v>
      </c>
      <c r="P211" s="2" t="s">
        <v>24</v>
      </c>
    </row>
    <row r="212" spans="1:16" ht="15" customHeight="1" x14ac:dyDescent="0.25">
      <c r="A212" s="2" t="s">
        <v>487</v>
      </c>
      <c r="B212" s="3">
        <v>45509</v>
      </c>
      <c r="C212" s="2" t="s">
        <v>226</v>
      </c>
      <c r="D212" s="2" t="s">
        <v>227</v>
      </c>
      <c r="E212" s="2" t="s">
        <v>113</v>
      </c>
      <c r="F212" s="2" t="s">
        <v>56</v>
      </c>
      <c r="G212" s="2" t="s">
        <v>141</v>
      </c>
      <c r="H212" s="2" t="s">
        <v>142</v>
      </c>
      <c r="I212" s="2" t="s">
        <v>52</v>
      </c>
      <c r="J212" s="4">
        <v>9</v>
      </c>
      <c r="K212" s="5">
        <v>1134.4100000000001</v>
      </c>
      <c r="L212" s="6">
        <v>0</v>
      </c>
      <c r="M212" s="5">
        <v>10209.69</v>
      </c>
      <c r="N212" s="5">
        <v>3962.61</v>
      </c>
      <c r="O212" s="5">
        <v>99.62</v>
      </c>
      <c r="P212" s="2" t="s">
        <v>40</v>
      </c>
    </row>
    <row r="213" spans="1:16" ht="15" customHeight="1" x14ac:dyDescent="0.25">
      <c r="A213" s="2" t="s">
        <v>488</v>
      </c>
      <c r="B213" s="3">
        <v>45630</v>
      </c>
      <c r="C213" s="2" t="s">
        <v>374</v>
      </c>
      <c r="D213" s="2" t="s">
        <v>375</v>
      </c>
      <c r="E213" s="2" t="s">
        <v>113</v>
      </c>
      <c r="F213" s="2" t="s">
        <v>36</v>
      </c>
      <c r="G213" s="2" t="s">
        <v>175</v>
      </c>
      <c r="H213" s="2" t="s">
        <v>176</v>
      </c>
      <c r="I213" s="2" t="s">
        <v>23</v>
      </c>
      <c r="J213" s="4">
        <v>7</v>
      </c>
      <c r="K213" s="5">
        <v>2998.2</v>
      </c>
      <c r="L213" s="6">
        <v>0</v>
      </c>
      <c r="M213" s="5">
        <v>20987.4</v>
      </c>
      <c r="N213" s="5">
        <v>8181.59</v>
      </c>
      <c r="O213" s="5">
        <v>35.479999999999997</v>
      </c>
      <c r="P213" s="2" t="s">
        <v>32</v>
      </c>
    </row>
    <row r="214" spans="1:16" ht="15" customHeight="1" x14ac:dyDescent="0.25">
      <c r="A214" s="2" t="s">
        <v>489</v>
      </c>
      <c r="B214" s="3">
        <v>45636</v>
      </c>
      <c r="C214" s="2" t="s">
        <v>315</v>
      </c>
      <c r="D214" s="2" t="s">
        <v>316</v>
      </c>
      <c r="E214" s="2" t="s">
        <v>28</v>
      </c>
      <c r="F214" s="2" t="s">
        <v>107</v>
      </c>
      <c r="G214" s="2" t="s">
        <v>50</v>
      </c>
      <c r="H214" s="2" t="s">
        <v>51</v>
      </c>
      <c r="I214" s="2" t="s">
        <v>52</v>
      </c>
      <c r="J214" s="4">
        <v>12</v>
      </c>
      <c r="K214" s="5">
        <v>2218.87</v>
      </c>
      <c r="L214" s="6">
        <v>0</v>
      </c>
      <c r="M214" s="5">
        <v>26626.44</v>
      </c>
      <c r="N214" s="5">
        <v>7052.4</v>
      </c>
      <c r="O214" s="5">
        <v>112.52</v>
      </c>
      <c r="P214" s="2" t="s">
        <v>73</v>
      </c>
    </row>
    <row r="215" spans="1:16" ht="15" customHeight="1" x14ac:dyDescent="0.25">
      <c r="A215" s="2" t="s">
        <v>490</v>
      </c>
      <c r="B215" s="3">
        <v>45363</v>
      </c>
      <c r="C215" s="2" t="s">
        <v>17</v>
      </c>
      <c r="D215" s="2" t="s">
        <v>18</v>
      </c>
      <c r="E215" s="2" t="s">
        <v>19</v>
      </c>
      <c r="F215" s="2" t="s">
        <v>20</v>
      </c>
      <c r="G215" s="2" t="s">
        <v>471</v>
      </c>
      <c r="H215" s="2" t="s">
        <v>472</v>
      </c>
      <c r="I215" s="2" t="s">
        <v>59</v>
      </c>
      <c r="J215" s="4">
        <v>9</v>
      </c>
      <c r="K215" s="5">
        <v>8949.17</v>
      </c>
      <c r="L215" s="6">
        <v>0</v>
      </c>
      <c r="M215" s="5">
        <v>80542.53</v>
      </c>
      <c r="N215" s="5">
        <v>19817.77</v>
      </c>
      <c r="O215" s="5">
        <v>188.25</v>
      </c>
      <c r="P215" s="2" t="s">
        <v>40</v>
      </c>
    </row>
    <row r="216" spans="1:16" ht="15" customHeight="1" x14ac:dyDescent="0.25">
      <c r="A216" s="2" t="s">
        <v>491</v>
      </c>
      <c r="B216" s="3">
        <v>45413</v>
      </c>
      <c r="C216" s="2" t="s">
        <v>156</v>
      </c>
      <c r="D216" s="2" t="s">
        <v>157</v>
      </c>
      <c r="E216" s="2" t="s">
        <v>19</v>
      </c>
      <c r="F216" s="2" t="s">
        <v>36</v>
      </c>
      <c r="G216" s="2" t="s">
        <v>215</v>
      </c>
      <c r="H216" s="2" t="s">
        <v>216</v>
      </c>
      <c r="I216" s="2" t="s">
        <v>39</v>
      </c>
      <c r="J216" s="4">
        <v>5</v>
      </c>
      <c r="K216" s="5">
        <v>4430.79</v>
      </c>
      <c r="L216" s="6">
        <v>0.15</v>
      </c>
      <c r="M216" s="5">
        <v>18830.86</v>
      </c>
      <c r="N216" s="5">
        <v>3759.25</v>
      </c>
      <c r="O216" s="5">
        <v>115.12</v>
      </c>
      <c r="P216" s="2" t="s">
        <v>40</v>
      </c>
    </row>
    <row r="217" spans="1:16" ht="15" customHeight="1" x14ac:dyDescent="0.25">
      <c r="A217" s="2" t="s">
        <v>492</v>
      </c>
      <c r="B217" s="3">
        <v>45381</v>
      </c>
      <c r="C217" s="2" t="s">
        <v>493</v>
      </c>
      <c r="D217" s="2" t="s">
        <v>494</v>
      </c>
      <c r="E217" s="2" t="s">
        <v>19</v>
      </c>
      <c r="F217" s="2" t="s">
        <v>36</v>
      </c>
      <c r="G217" s="2" t="s">
        <v>37</v>
      </c>
      <c r="H217" s="2" t="s">
        <v>38</v>
      </c>
      <c r="I217" s="2" t="s">
        <v>39</v>
      </c>
      <c r="J217" s="4">
        <v>11</v>
      </c>
      <c r="K217" s="5">
        <v>3522.25</v>
      </c>
      <c r="L217" s="6">
        <v>0.1</v>
      </c>
      <c r="M217" s="5">
        <v>34870.28</v>
      </c>
      <c r="N217" s="5">
        <v>8759.99</v>
      </c>
      <c r="O217" s="5">
        <v>243.63</v>
      </c>
      <c r="P217" s="2" t="s">
        <v>88</v>
      </c>
    </row>
    <row r="218" spans="1:16" ht="15" customHeight="1" x14ac:dyDescent="0.25">
      <c r="A218" s="2" t="s">
        <v>495</v>
      </c>
      <c r="B218" s="3">
        <v>45501</v>
      </c>
      <c r="C218" s="2" t="s">
        <v>430</v>
      </c>
      <c r="D218" s="2" t="s">
        <v>431</v>
      </c>
      <c r="E218" s="2" t="s">
        <v>19</v>
      </c>
      <c r="F218" s="2" t="s">
        <v>56</v>
      </c>
      <c r="G218" s="2" t="s">
        <v>108</v>
      </c>
      <c r="H218" s="2" t="s">
        <v>109</v>
      </c>
      <c r="I218" s="2" t="s">
        <v>46</v>
      </c>
      <c r="J218" s="4">
        <v>3</v>
      </c>
      <c r="K218" s="5">
        <v>274.92</v>
      </c>
      <c r="L218" s="6">
        <v>0</v>
      </c>
      <c r="M218" s="5">
        <v>824.76</v>
      </c>
      <c r="N218" s="5">
        <v>215.59</v>
      </c>
      <c r="O218" s="5">
        <v>128.91</v>
      </c>
      <c r="P218" s="2" t="s">
        <v>73</v>
      </c>
    </row>
    <row r="219" spans="1:16" ht="15" customHeight="1" x14ac:dyDescent="0.25">
      <c r="A219" s="2" t="s">
        <v>496</v>
      </c>
      <c r="B219" s="3">
        <v>45321</v>
      </c>
      <c r="C219" s="2" t="s">
        <v>226</v>
      </c>
      <c r="D219" s="2" t="s">
        <v>227</v>
      </c>
      <c r="E219" s="2" t="s">
        <v>113</v>
      </c>
      <c r="F219" s="2" t="s">
        <v>56</v>
      </c>
      <c r="G219" s="2" t="s">
        <v>77</v>
      </c>
      <c r="H219" s="2" t="s">
        <v>78</v>
      </c>
      <c r="I219" s="2" t="s">
        <v>59</v>
      </c>
      <c r="J219" s="4">
        <v>9</v>
      </c>
      <c r="K219" s="5">
        <v>4418.88</v>
      </c>
      <c r="L219" s="6">
        <v>0.05</v>
      </c>
      <c r="M219" s="5">
        <v>37781.42</v>
      </c>
      <c r="N219" s="5">
        <v>10367.15</v>
      </c>
      <c r="O219" s="5">
        <v>50.84</v>
      </c>
      <c r="P219" s="2" t="s">
        <v>73</v>
      </c>
    </row>
    <row r="220" spans="1:16" ht="15" customHeight="1" x14ac:dyDescent="0.25">
      <c r="A220" s="2" t="s">
        <v>497</v>
      </c>
      <c r="B220" s="3">
        <v>45623</v>
      </c>
      <c r="C220" s="2" t="s">
        <v>303</v>
      </c>
      <c r="D220" s="2" t="s">
        <v>304</v>
      </c>
      <c r="E220" s="2" t="s">
        <v>19</v>
      </c>
      <c r="F220" s="2" t="s">
        <v>56</v>
      </c>
      <c r="G220" s="2" t="s">
        <v>57</v>
      </c>
      <c r="H220" s="2" t="s">
        <v>58</v>
      </c>
      <c r="I220" s="2" t="s">
        <v>59</v>
      </c>
      <c r="J220" s="4">
        <v>2</v>
      </c>
      <c r="K220" s="5">
        <v>8393.36</v>
      </c>
      <c r="L220" s="6">
        <v>0.2</v>
      </c>
      <c r="M220" s="5">
        <v>13429.38</v>
      </c>
      <c r="N220" s="5">
        <v>2639.39</v>
      </c>
      <c r="O220" s="5">
        <v>143.19999999999999</v>
      </c>
      <c r="P220" s="2" t="s">
        <v>73</v>
      </c>
    </row>
    <row r="221" spans="1:16" ht="15" customHeight="1" x14ac:dyDescent="0.25">
      <c r="A221" s="2" t="s">
        <v>498</v>
      </c>
      <c r="B221" s="3">
        <v>45636</v>
      </c>
      <c r="C221" s="2" t="s">
        <v>298</v>
      </c>
      <c r="D221" s="2" t="s">
        <v>299</v>
      </c>
      <c r="E221" s="2" t="s">
        <v>113</v>
      </c>
      <c r="F221" s="2" t="s">
        <v>107</v>
      </c>
      <c r="G221" s="2" t="s">
        <v>108</v>
      </c>
      <c r="H221" s="2" t="s">
        <v>109</v>
      </c>
      <c r="I221" s="2" t="s">
        <v>46</v>
      </c>
      <c r="J221" s="4">
        <v>10</v>
      </c>
      <c r="K221" s="5">
        <v>502.19</v>
      </c>
      <c r="L221" s="6">
        <v>0.2</v>
      </c>
      <c r="M221" s="5">
        <v>4017.52</v>
      </c>
      <c r="N221" s="5">
        <v>1164.0999999999999</v>
      </c>
      <c r="O221" s="5">
        <v>205.07</v>
      </c>
      <c r="P221" s="2" t="s">
        <v>32</v>
      </c>
    </row>
    <row r="222" spans="1:16" ht="15" customHeight="1" x14ac:dyDescent="0.25">
      <c r="A222" s="2" t="s">
        <v>499</v>
      </c>
      <c r="B222" s="3">
        <v>45398</v>
      </c>
      <c r="C222" s="2" t="s">
        <v>306</v>
      </c>
      <c r="D222" s="2" t="s">
        <v>307</v>
      </c>
      <c r="E222" s="2" t="s">
        <v>19</v>
      </c>
      <c r="F222" s="2" t="s">
        <v>29</v>
      </c>
      <c r="G222" s="2" t="s">
        <v>77</v>
      </c>
      <c r="H222" s="2" t="s">
        <v>78</v>
      </c>
      <c r="I222" s="2" t="s">
        <v>59</v>
      </c>
      <c r="J222" s="4">
        <v>6</v>
      </c>
      <c r="K222" s="5">
        <v>3564.87</v>
      </c>
      <c r="L222" s="6">
        <v>0</v>
      </c>
      <c r="M222" s="5">
        <v>21389.22</v>
      </c>
      <c r="N222" s="5">
        <v>8492.5499999999993</v>
      </c>
      <c r="O222" s="5">
        <v>63.71</v>
      </c>
      <c r="P222" s="2" t="s">
        <v>24</v>
      </c>
    </row>
    <row r="223" spans="1:16" ht="15" customHeight="1" x14ac:dyDescent="0.25">
      <c r="A223" s="2" t="s">
        <v>500</v>
      </c>
      <c r="B223" s="3">
        <v>45652</v>
      </c>
      <c r="C223" s="2" t="s">
        <v>232</v>
      </c>
      <c r="D223" s="2" t="s">
        <v>233</v>
      </c>
      <c r="E223" s="2" t="s">
        <v>19</v>
      </c>
      <c r="F223" s="2" t="s">
        <v>107</v>
      </c>
      <c r="G223" s="2" t="s">
        <v>420</v>
      </c>
      <c r="H223" s="2" t="s">
        <v>421</v>
      </c>
      <c r="I223" s="2" t="s">
        <v>59</v>
      </c>
      <c r="J223" s="4">
        <v>4</v>
      </c>
      <c r="K223" s="5">
        <v>4293.7299999999996</v>
      </c>
      <c r="L223" s="6">
        <v>0</v>
      </c>
      <c r="M223" s="5">
        <v>17174.919999999998</v>
      </c>
      <c r="N223" s="5">
        <v>5358.23</v>
      </c>
      <c r="O223" s="5">
        <v>198.37</v>
      </c>
      <c r="P223" s="2" t="s">
        <v>88</v>
      </c>
    </row>
    <row r="224" spans="1:16" ht="15" customHeight="1" x14ac:dyDescent="0.25">
      <c r="A224" s="2" t="s">
        <v>501</v>
      </c>
      <c r="B224" s="3">
        <v>45449</v>
      </c>
      <c r="C224" s="2" t="s">
        <v>247</v>
      </c>
      <c r="D224" s="2" t="s">
        <v>248</v>
      </c>
      <c r="E224" s="2" t="s">
        <v>113</v>
      </c>
      <c r="F224" s="2" t="s">
        <v>29</v>
      </c>
      <c r="G224" s="2" t="s">
        <v>215</v>
      </c>
      <c r="H224" s="2" t="s">
        <v>216</v>
      </c>
      <c r="I224" s="2" t="s">
        <v>39</v>
      </c>
      <c r="J224" s="4">
        <v>5</v>
      </c>
      <c r="K224" s="5">
        <v>2054.37</v>
      </c>
      <c r="L224" s="6">
        <v>0.05</v>
      </c>
      <c r="M224" s="5">
        <v>9758.26</v>
      </c>
      <c r="N224" s="5">
        <v>2912.06</v>
      </c>
      <c r="O224" s="5">
        <v>204.65</v>
      </c>
      <c r="P224" s="2" t="s">
        <v>88</v>
      </c>
    </row>
    <row r="225" spans="1:16" ht="15" customHeight="1" x14ac:dyDescent="0.25">
      <c r="A225" s="2" t="s">
        <v>502</v>
      </c>
      <c r="B225" s="3">
        <v>45452</v>
      </c>
      <c r="C225" s="2" t="s">
        <v>367</v>
      </c>
      <c r="D225" s="2" t="s">
        <v>368</v>
      </c>
      <c r="E225" s="2" t="s">
        <v>28</v>
      </c>
      <c r="F225" s="2" t="s">
        <v>29</v>
      </c>
      <c r="G225" s="2" t="s">
        <v>57</v>
      </c>
      <c r="H225" s="2" t="s">
        <v>58</v>
      </c>
      <c r="I225" s="2" t="s">
        <v>59</v>
      </c>
      <c r="J225" s="4">
        <v>7</v>
      </c>
      <c r="K225" s="5">
        <v>1556.58</v>
      </c>
      <c r="L225" s="6">
        <v>0.2</v>
      </c>
      <c r="M225" s="5">
        <v>8716.85</v>
      </c>
      <c r="N225" s="5">
        <v>2121.2600000000002</v>
      </c>
      <c r="O225" s="5">
        <v>53.56</v>
      </c>
      <c r="P225" s="2" t="s">
        <v>40</v>
      </c>
    </row>
    <row r="226" spans="1:16" ht="15" customHeight="1" x14ac:dyDescent="0.25">
      <c r="A226" s="2" t="s">
        <v>503</v>
      </c>
      <c r="B226" s="3">
        <v>45505</v>
      </c>
      <c r="C226" s="2" t="s">
        <v>213</v>
      </c>
      <c r="D226" s="2" t="s">
        <v>214</v>
      </c>
      <c r="E226" s="2" t="s">
        <v>19</v>
      </c>
      <c r="F226" s="2" t="s">
        <v>36</v>
      </c>
      <c r="G226" s="2" t="s">
        <v>37</v>
      </c>
      <c r="H226" s="2" t="s">
        <v>38</v>
      </c>
      <c r="I226" s="2" t="s">
        <v>39</v>
      </c>
      <c r="J226" s="4">
        <v>5</v>
      </c>
      <c r="K226" s="5">
        <v>1101.0899999999999</v>
      </c>
      <c r="L226" s="6">
        <v>0</v>
      </c>
      <c r="M226" s="5">
        <v>5505.45</v>
      </c>
      <c r="N226" s="5">
        <v>2160.86</v>
      </c>
      <c r="O226" s="5">
        <v>151.05000000000001</v>
      </c>
      <c r="P226" s="2" t="s">
        <v>73</v>
      </c>
    </row>
    <row r="227" spans="1:16" ht="15" customHeight="1" x14ac:dyDescent="0.25">
      <c r="A227" s="2" t="s">
        <v>504</v>
      </c>
      <c r="B227" s="3">
        <v>45423</v>
      </c>
      <c r="C227" s="2" t="s">
        <v>278</v>
      </c>
      <c r="D227" s="2" t="s">
        <v>279</v>
      </c>
      <c r="E227" s="2" t="s">
        <v>19</v>
      </c>
      <c r="F227" s="2" t="s">
        <v>29</v>
      </c>
      <c r="G227" s="2" t="s">
        <v>215</v>
      </c>
      <c r="H227" s="2" t="s">
        <v>216</v>
      </c>
      <c r="I227" s="2" t="s">
        <v>39</v>
      </c>
      <c r="J227" s="4">
        <v>8</v>
      </c>
      <c r="K227" s="5">
        <v>4845.9399999999996</v>
      </c>
      <c r="L227" s="6">
        <v>0.15</v>
      </c>
      <c r="M227" s="5">
        <v>32952.39</v>
      </c>
      <c r="N227" s="5">
        <v>4462.2</v>
      </c>
      <c r="O227" s="5">
        <v>125.99</v>
      </c>
      <c r="P227" s="2" t="s">
        <v>40</v>
      </c>
    </row>
    <row r="228" spans="1:16" ht="15" customHeight="1" x14ac:dyDescent="0.25">
      <c r="A228" s="2" t="s">
        <v>505</v>
      </c>
      <c r="B228" s="3">
        <v>45542</v>
      </c>
      <c r="C228" s="2" t="s">
        <v>164</v>
      </c>
      <c r="D228" s="2" t="s">
        <v>165</v>
      </c>
      <c r="E228" s="2" t="s">
        <v>19</v>
      </c>
      <c r="F228" s="2" t="s">
        <v>36</v>
      </c>
      <c r="G228" s="2" t="s">
        <v>433</v>
      </c>
      <c r="H228" s="2" t="s">
        <v>434</v>
      </c>
      <c r="I228" s="2" t="s">
        <v>59</v>
      </c>
      <c r="J228" s="4">
        <v>3</v>
      </c>
      <c r="K228" s="5">
        <v>8351.82</v>
      </c>
      <c r="L228" s="6">
        <v>0.1</v>
      </c>
      <c r="M228" s="5">
        <v>22549.91</v>
      </c>
      <c r="N228" s="5">
        <v>2566.15</v>
      </c>
      <c r="O228" s="5">
        <v>240.16</v>
      </c>
      <c r="P228" s="2" t="s">
        <v>32</v>
      </c>
    </row>
    <row r="229" spans="1:16" ht="15" customHeight="1" x14ac:dyDescent="0.25">
      <c r="A229" s="2" t="s">
        <v>506</v>
      </c>
      <c r="B229" s="3">
        <v>45295</v>
      </c>
      <c r="C229" s="2" t="s">
        <v>315</v>
      </c>
      <c r="D229" s="2" t="s">
        <v>316</v>
      </c>
      <c r="E229" s="2" t="s">
        <v>28</v>
      </c>
      <c r="F229" s="2" t="s">
        <v>107</v>
      </c>
      <c r="G229" s="2" t="s">
        <v>175</v>
      </c>
      <c r="H229" s="2" t="s">
        <v>176</v>
      </c>
      <c r="I229" s="2" t="s">
        <v>23</v>
      </c>
      <c r="J229" s="4">
        <v>7</v>
      </c>
      <c r="K229" s="5">
        <v>1136.22</v>
      </c>
      <c r="L229" s="6">
        <v>0.15</v>
      </c>
      <c r="M229" s="5">
        <v>6760.51</v>
      </c>
      <c r="N229" s="5">
        <v>1925.88</v>
      </c>
      <c r="O229" s="5">
        <v>182.65</v>
      </c>
      <c r="P229" s="2" t="s">
        <v>24</v>
      </c>
    </row>
    <row r="230" spans="1:16" ht="15" customHeight="1" x14ac:dyDescent="0.25">
      <c r="A230" s="2" t="s">
        <v>507</v>
      </c>
      <c r="B230" s="3">
        <v>45483</v>
      </c>
      <c r="C230" s="2" t="s">
        <v>323</v>
      </c>
      <c r="D230" s="2" t="s">
        <v>324</v>
      </c>
      <c r="E230" s="2" t="s">
        <v>19</v>
      </c>
      <c r="F230" s="2" t="s">
        <v>20</v>
      </c>
      <c r="G230" s="2" t="s">
        <v>144</v>
      </c>
      <c r="H230" s="2" t="s">
        <v>145</v>
      </c>
      <c r="I230" s="2" t="s">
        <v>39</v>
      </c>
      <c r="J230" s="4">
        <v>1</v>
      </c>
      <c r="K230" s="5">
        <v>3242.04</v>
      </c>
      <c r="L230" s="6">
        <v>0.15</v>
      </c>
      <c r="M230" s="5">
        <v>2755.73</v>
      </c>
      <c r="N230" s="5">
        <v>215.67</v>
      </c>
      <c r="O230" s="5">
        <v>229.93</v>
      </c>
      <c r="P230" s="2" t="s">
        <v>88</v>
      </c>
    </row>
    <row r="231" spans="1:16" ht="15" customHeight="1" x14ac:dyDescent="0.25">
      <c r="A231" s="2" t="s">
        <v>508</v>
      </c>
      <c r="B231" s="3">
        <v>45574</v>
      </c>
      <c r="C231" s="2" t="s">
        <v>509</v>
      </c>
      <c r="D231" s="2" t="s">
        <v>404</v>
      </c>
      <c r="E231" s="2" t="s">
        <v>19</v>
      </c>
      <c r="F231" s="2" t="s">
        <v>107</v>
      </c>
      <c r="G231" s="2" t="s">
        <v>228</v>
      </c>
      <c r="H231" s="2" t="s">
        <v>229</v>
      </c>
      <c r="I231" s="2" t="s">
        <v>23</v>
      </c>
      <c r="J231" s="4">
        <v>7</v>
      </c>
      <c r="K231" s="5">
        <v>646.22</v>
      </c>
      <c r="L231" s="6">
        <v>0.1</v>
      </c>
      <c r="M231" s="5">
        <v>4071.19</v>
      </c>
      <c r="N231" s="5">
        <v>766.53</v>
      </c>
      <c r="O231" s="5">
        <v>143.22</v>
      </c>
      <c r="P231" s="2" t="s">
        <v>40</v>
      </c>
    </row>
    <row r="232" spans="1:16" ht="15" customHeight="1" x14ac:dyDescent="0.25">
      <c r="A232" s="2" t="s">
        <v>510</v>
      </c>
      <c r="B232" s="3">
        <v>45383</v>
      </c>
      <c r="C232" s="2" t="s">
        <v>509</v>
      </c>
      <c r="D232" s="2" t="s">
        <v>404</v>
      </c>
      <c r="E232" s="2" t="s">
        <v>19</v>
      </c>
      <c r="F232" s="2" t="s">
        <v>107</v>
      </c>
      <c r="G232" s="2" t="s">
        <v>96</v>
      </c>
      <c r="H232" s="2" t="s">
        <v>97</v>
      </c>
      <c r="I232" s="2" t="s">
        <v>39</v>
      </c>
      <c r="J232" s="4">
        <v>2</v>
      </c>
      <c r="K232" s="5">
        <v>4623.0200000000004</v>
      </c>
      <c r="L232" s="6">
        <v>0.1</v>
      </c>
      <c r="M232" s="5">
        <v>8321.44</v>
      </c>
      <c r="N232" s="5">
        <v>2891.94</v>
      </c>
      <c r="O232" s="5">
        <v>64.14</v>
      </c>
      <c r="P232" s="2" t="s">
        <v>32</v>
      </c>
    </row>
    <row r="233" spans="1:16" ht="15" customHeight="1" x14ac:dyDescent="0.25">
      <c r="A233" s="2" t="s">
        <v>511</v>
      </c>
      <c r="B233" s="3">
        <v>45495</v>
      </c>
      <c r="C233" s="2" t="s">
        <v>303</v>
      </c>
      <c r="D233" s="2" t="s">
        <v>304</v>
      </c>
      <c r="E233" s="2" t="s">
        <v>19</v>
      </c>
      <c r="F233" s="2" t="s">
        <v>56</v>
      </c>
      <c r="G233" s="2" t="s">
        <v>66</v>
      </c>
      <c r="H233" s="2" t="s">
        <v>67</v>
      </c>
      <c r="I233" s="2" t="s">
        <v>46</v>
      </c>
      <c r="J233" s="4">
        <v>2</v>
      </c>
      <c r="K233" s="5">
        <v>329.79</v>
      </c>
      <c r="L233" s="6">
        <v>0.05</v>
      </c>
      <c r="M233" s="5">
        <v>626.6</v>
      </c>
      <c r="N233" s="5">
        <v>188.14</v>
      </c>
      <c r="O233" s="5">
        <v>75.94</v>
      </c>
      <c r="P233" s="2" t="s">
        <v>73</v>
      </c>
    </row>
    <row r="234" spans="1:16" ht="15" customHeight="1" x14ac:dyDescent="0.25">
      <c r="A234" s="2" t="s">
        <v>512</v>
      </c>
      <c r="B234" s="3">
        <v>45339</v>
      </c>
      <c r="C234" s="2" t="s">
        <v>226</v>
      </c>
      <c r="D234" s="2" t="s">
        <v>227</v>
      </c>
      <c r="E234" s="2" t="s">
        <v>113</v>
      </c>
      <c r="F234" s="2" t="s">
        <v>56</v>
      </c>
      <c r="G234" s="2" t="s">
        <v>175</v>
      </c>
      <c r="H234" s="2" t="s">
        <v>176</v>
      </c>
      <c r="I234" s="2" t="s">
        <v>23</v>
      </c>
      <c r="J234" s="4">
        <v>7</v>
      </c>
      <c r="K234" s="5">
        <v>2079.13</v>
      </c>
      <c r="L234" s="6">
        <v>0.1</v>
      </c>
      <c r="M234" s="5">
        <v>13098.52</v>
      </c>
      <c r="N234" s="5">
        <v>3361.94</v>
      </c>
      <c r="O234" s="5">
        <v>166.45</v>
      </c>
      <c r="P234" s="2" t="s">
        <v>73</v>
      </c>
    </row>
    <row r="235" spans="1:16" ht="15" customHeight="1" x14ac:dyDescent="0.25">
      <c r="A235" s="2" t="s">
        <v>513</v>
      </c>
      <c r="B235" s="3">
        <v>45622</v>
      </c>
      <c r="C235" s="2" t="s">
        <v>123</v>
      </c>
      <c r="D235" s="2" t="s">
        <v>124</v>
      </c>
      <c r="E235" s="2" t="s">
        <v>113</v>
      </c>
      <c r="F235" s="2" t="s">
        <v>20</v>
      </c>
      <c r="G235" s="2" t="s">
        <v>153</v>
      </c>
      <c r="H235" s="2" t="s">
        <v>154</v>
      </c>
      <c r="I235" s="2" t="s">
        <v>52</v>
      </c>
      <c r="J235" s="4">
        <v>6</v>
      </c>
      <c r="K235" s="5">
        <v>1544.88</v>
      </c>
      <c r="L235" s="6">
        <v>0.2</v>
      </c>
      <c r="M235" s="5">
        <v>7415.42</v>
      </c>
      <c r="N235" s="5">
        <v>60.62</v>
      </c>
      <c r="O235" s="5">
        <v>225.8</v>
      </c>
      <c r="P235" s="2" t="s">
        <v>24</v>
      </c>
    </row>
    <row r="236" spans="1:16" ht="15" customHeight="1" x14ac:dyDescent="0.25">
      <c r="A236" s="2" t="s">
        <v>514</v>
      </c>
      <c r="B236" s="3">
        <v>45535</v>
      </c>
      <c r="C236" s="2" t="s">
        <v>218</v>
      </c>
      <c r="D236" s="2" t="s">
        <v>219</v>
      </c>
      <c r="E236" s="2" t="s">
        <v>28</v>
      </c>
      <c r="F236" s="2" t="s">
        <v>107</v>
      </c>
      <c r="G236" s="2" t="s">
        <v>420</v>
      </c>
      <c r="H236" s="2" t="s">
        <v>421</v>
      </c>
      <c r="I236" s="2" t="s">
        <v>59</v>
      </c>
      <c r="J236" s="4">
        <v>5</v>
      </c>
      <c r="K236" s="5">
        <v>1563.18</v>
      </c>
      <c r="L236" s="6">
        <v>0</v>
      </c>
      <c r="M236" s="5">
        <v>7815.9</v>
      </c>
      <c r="N236" s="5">
        <v>2179.8000000000002</v>
      </c>
      <c r="O236" s="5">
        <v>84.49</v>
      </c>
      <c r="P236" s="2" t="s">
        <v>32</v>
      </c>
    </row>
    <row r="237" spans="1:16" ht="15" customHeight="1" x14ac:dyDescent="0.25">
      <c r="A237" s="2" t="s">
        <v>515</v>
      </c>
      <c r="B237" s="3">
        <v>45453</v>
      </c>
      <c r="C237" s="2" t="s">
        <v>178</v>
      </c>
      <c r="D237" s="2" t="s">
        <v>179</v>
      </c>
      <c r="E237" s="2" t="s">
        <v>19</v>
      </c>
      <c r="F237" s="2" t="s">
        <v>29</v>
      </c>
      <c r="G237" s="2" t="s">
        <v>30</v>
      </c>
      <c r="H237" s="2" t="s">
        <v>31</v>
      </c>
      <c r="I237" s="2" t="s">
        <v>23</v>
      </c>
      <c r="J237" s="4">
        <v>1</v>
      </c>
      <c r="K237" s="5">
        <v>4349.7299999999996</v>
      </c>
      <c r="L237" s="6">
        <v>0.1</v>
      </c>
      <c r="M237" s="5">
        <v>3914.76</v>
      </c>
      <c r="N237" s="5">
        <v>1365.61</v>
      </c>
      <c r="O237" s="5">
        <v>208.76</v>
      </c>
      <c r="P237" s="2" t="s">
        <v>88</v>
      </c>
    </row>
    <row r="238" spans="1:16" ht="15" customHeight="1" x14ac:dyDescent="0.25">
      <c r="A238" s="2" t="s">
        <v>516</v>
      </c>
      <c r="B238" s="3">
        <v>45580</v>
      </c>
      <c r="C238" s="2" t="s">
        <v>338</v>
      </c>
      <c r="D238" s="2" t="s">
        <v>339</v>
      </c>
      <c r="E238" s="2" t="s">
        <v>19</v>
      </c>
      <c r="F238" s="2" t="s">
        <v>29</v>
      </c>
      <c r="G238" s="2" t="s">
        <v>90</v>
      </c>
      <c r="H238" s="2" t="s">
        <v>91</v>
      </c>
      <c r="I238" s="2" t="s">
        <v>46</v>
      </c>
      <c r="J238" s="4">
        <v>4</v>
      </c>
      <c r="K238" s="5">
        <v>475.02</v>
      </c>
      <c r="L238" s="6">
        <v>0.2</v>
      </c>
      <c r="M238" s="5">
        <v>1520.06</v>
      </c>
      <c r="N238" s="5">
        <v>290.16000000000003</v>
      </c>
      <c r="O238" s="5">
        <v>226.2</v>
      </c>
      <c r="P238" s="2" t="s">
        <v>40</v>
      </c>
    </row>
    <row r="239" spans="1:16" ht="15" customHeight="1" x14ac:dyDescent="0.25">
      <c r="A239" s="2" t="s">
        <v>517</v>
      </c>
      <c r="B239" s="3">
        <v>45548</v>
      </c>
      <c r="C239" s="2" t="s">
        <v>414</v>
      </c>
      <c r="D239" s="2" t="s">
        <v>415</v>
      </c>
      <c r="E239" s="2" t="s">
        <v>19</v>
      </c>
      <c r="F239" s="2" t="s">
        <v>36</v>
      </c>
      <c r="G239" s="2" t="s">
        <v>205</v>
      </c>
      <c r="H239" s="2" t="s">
        <v>206</v>
      </c>
      <c r="I239" s="2" t="s">
        <v>59</v>
      </c>
      <c r="J239" s="4">
        <v>12</v>
      </c>
      <c r="K239" s="5">
        <v>8799.7199999999993</v>
      </c>
      <c r="L239" s="6">
        <v>0</v>
      </c>
      <c r="M239" s="5">
        <v>105596.64</v>
      </c>
      <c r="N239" s="5">
        <v>44939.67</v>
      </c>
      <c r="O239" s="5">
        <v>73.39</v>
      </c>
      <c r="P239" s="2" t="s">
        <v>24</v>
      </c>
    </row>
    <row r="240" spans="1:16" ht="15" customHeight="1" x14ac:dyDescent="0.25">
      <c r="A240" s="2" t="s">
        <v>518</v>
      </c>
      <c r="B240" s="3">
        <v>45596</v>
      </c>
      <c r="C240" s="2" t="s">
        <v>519</v>
      </c>
      <c r="D240" s="2" t="s">
        <v>520</v>
      </c>
      <c r="E240" s="2" t="s">
        <v>28</v>
      </c>
      <c r="F240" s="2" t="s">
        <v>107</v>
      </c>
      <c r="G240" s="2" t="s">
        <v>37</v>
      </c>
      <c r="H240" s="2" t="s">
        <v>38</v>
      </c>
      <c r="I240" s="2" t="s">
        <v>39</v>
      </c>
      <c r="J240" s="4">
        <v>7</v>
      </c>
      <c r="K240" s="5">
        <v>4857.03</v>
      </c>
      <c r="L240" s="6">
        <v>0</v>
      </c>
      <c r="M240" s="5">
        <v>33999.21</v>
      </c>
      <c r="N240" s="5">
        <v>15047.83</v>
      </c>
      <c r="O240" s="5">
        <v>82.87</v>
      </c>
      <c r="P240" s="2" t="s">
        <v>88</v>
      </c>
    </row>
    <row r="241" spans="1:16" ht="15" customHeight="1" x14ac:dyDescent="0.25">
      <c r="A241" s="2" t="s">
        <v>521</v>
      </c>
      <c r="B241" s="3">
        <v>45575</v>
      </c>
      <c r="C241" s="2" t="s">
        <v>69</v>
      </c>
      <c r="D241" s="2" t="s">
        <v>70</v>
      </c>
      <c r="E241" s="2" t="s">
        <v>19</v>
      </c>
      <c r="F241" s="2" t="s">
        <v>36</v>
      </c>
      <c r="G241" s="2" t="s">
        <v>57</v>
      </c>
      <c r="H241" s="2" t="s">
        <v>58</v>
      </c>
      <c r="I241" s="2" t="s">
        <v>59</v>
      </c>
      <c r="J241" s="4">
        <v>7</v>
      </c>
      <c r="K241" s="5">
        <v>4568.41</v>
      </c>
      <c r="L241" s="6">
        <v>0.15</v>
      </c>
      <c r="M241" s="5">
        <v>27182.04</v>
      </c>
      <c r="N241" s="5">
        <v>4909.76</v>
      </c>
      <c r="O241" s="5">
        <v>107.42</v>
      </c>
      <c r="P241" s="2" t="s">
        <v>32</v>
      </c>
    </row>
    <row r="242" spans="1:16" ht="15" customHeight="1" x14ac:dyDescent="0.25">
      <c r="A242" s="2" t="s">
        <v>522</v>
      </c>
      <c r="B242" s="3">
        <v>45334</v>
      </c>
      <c r="C242" s="2" t="s">
        <v>403</v>
      </c>
      <c r="D242" s="2" t="s">
        <v>404</v>
      </c>
      <c r="E242" s="2" t="s">
        <v>113</v>
      </c>
      <c r="F242" s="2" t="s">
        <v>20</v>
      </c>
      <c r="G242" s="2" t="s">
        <v>205</v>
      </c>
      <c r="H242" s="2" t="s">
        <v>206</v>
      </c>
      <c r="I242" s="2" t="s">
        <v>59</v>
      </c>
      <c r="J242" s="4">
        <v>5</v>
      </c>
      <c r="K242" s="5">
        <v>2402.92</v>
      </c>
      <c r="L242" s="6">
        <v>0.15</v>
      </c>
      <c r="M242" s="5">
        <v>10212.41</v>
      </c>
      <c r="N242" s="5">
        <v>1249.8499999999999</v>
      </c>
      <c r="O242" s="5">
        <v>55.48</v>
      </c>
      <c r="P242" s="2" t="s">
        <v>88</v>
      </c>
    </row>
    <row r="243" spans="1:16" ht="15" customHeight="1" x14ac:dyDescent="0.25">
      <c r="A243" s="2" t="s">
        <v>523</v>
      </c>
      <c r="B243" s="3">
        <v>45338</v>
      </c>
      <c r="C243" s="2" t="s">
        <v>367</v>
      </c>
      <c r="D243" s="2" t="s">
        <v>368</v>
      </c>
      <c r="E243" s="2" t="s">
        <v>28</v>
      </c>
      <c r="F243" s="2" t="s">
        <v>29</v>
      </c>
      <c r="G243" s="2" t="s">
        <v>183</v>
      </c>
      <c r="H243" s="2" t="s">
        <v>184</v>
      </c>
      <c r="I243" s="2" t="s">
        <v>46</v>
      </c>
      <c r="J243" s="4">
        <v>1</v>
      </c>
      <c r="K243" s="5">
        <v>757.22</v>
      </c>
      <c r="L243" s="6">
        <v>0.05</v>
      </c>
      <c r="M243" s="5">
        <v>719.36</v>
      </c>
      <c r="N243" s="5">
        <v>234.75</v>
      </c>
      <c r="O243" s="5">
        <v>82.05</v>
      </c>
      <c r="P243" s="2" t="s">
        <v>73</v>
      </c>
    </row>
    <row r="244" spans="1:16" ht="15" customHeight="1" x14ac:dyDescent="0.25">
      <c r="A244" s="2" t="s">
        <v>524</v>
      </c>
      <c r="B244" s="3">
        <v>45521</v>
      </c>
      <c r="C244" s="2" t="s">
        <v>199</v>
      </c>
      <c r="D244" s="2" t="s">
        <v>200</v>
      </c>
      <c r="E244" s="2" t="s">
        <v>19</v>
      </c>
      <c r="F244" s="2" t="s">
        <v>36</v>
      </c>
      <c r="G244" s="2" t="s">
        <v>466</v>
      </c>
      <c r="H244" s="2" t="s">
        <v>467</v>
      </c>
      <c r="I244" s="2" t="s">
        <v>59</v>
      </c>
      <c r="J244" s="4">
        <v>9</v>
      </c>
      <c r="K244" s="5">
        <v>5526.97</v>
      </c>
      <c r="L244" s="6">
        <v>0.05</v>
      </c>
      <c r="M244" s="5">
        <v>47255.59</v>
      </c>
      <c r="N244" s="5">
        <v>18612.57</v>
      </c>
      <c r="O244" s="5">
        <v>40.61</v>
      </c>
      <c r="P244" s="2" t="s">
        <v>32</v>
      </c>
    </row>
    <row r="245" spans="1:16" ht="15" customHeight="1" x14ac:dyDescent="0.25">
      <c r="A245" s="2" t="s">
        <v>525</v>
      </c>
      <c r="B245" s="3">
        <v>45458</v>
      </c>
      <c r="C245" s="2" t="s">
        <v>199</v>
      </c>
      <c r="D245" s="2" t="s">
        <v>200</v>
      </c>
      <c r="E245" s="2" t="s">
        <v>19</v>
      </c>
      <c r="F245" s="2" t="s">
        <v>36</v>
      </c>
      <c r="G245" s="2" t="s">
        <v>37</v>
      </c>
      <c r="H245" s="2" t="s">
        <v>38</v>
      </c>
      <c r="I245" s="2" t="s">
        <v>39</v>
      </c>
      <c r="J245" s="4">
        <v>7</v>
      </c>
      <c r="K245" s="5">
        <v>456.77</v>
      </c>
      <c r="L245" s="6">
        <v>0.05</v>
      </c>
      <c r="M245" s="5">
        <v>3037.52</v>
      </c>
      <c r="N245" s="5">
        <v>968.97</v>
      </c>
      <c r="O245" s="5">
        <v>39.479999999999997</v>
      </c>
      <c r="P245" s="2" t="s">
        <v>32</v>
      </c>
    </row>
    <row r="246" spans="1:16" ht="15" customHeight="1" x14ac:dyDescent="0.25">
      <c r="A246" s="2" t="s">
        <v>526</v>
      </c>
      <c r="B246" s="3">
        <v>45378</v>
      </c>
      <c r="C246" s="2" t="s">
        <v>34</v>
      </c>
      <c r="D246" s="2" t="s">
        <v>35</v>
      </c>
      <c r="E246" s="2" t="s">
        <v>28</v>
      </c>
      <c r="F246" s="2" t="s">
        <v>36</v>
      </c>
      <c r="G246" s="2" t="s">
        <v>223</v>
      </c>
      <c r="H246" s="2" t="s">
        <v>224</v>
      </c>
      <c r="I246" s="2" t="s">
        <v>39</v>
      </c>
      <c r="J246" s="4">
        <v>11</v>
      </c>
      <c r="K246" s="5">
        <v>2151.37</v>
      </c>
      <c r="L246" s="6">
        <v>0</v>
      </c>
      <c r="M246" s="5">
        <v>23665.07</v>
      </c>
      <c r="N246" s="5">
        <v>9058.2800000000007</v>
      </c>
      <c r="O246" s="5">
        <v>81.73</v>
      </c>
      <c r="P246" s="2" t="s">
        <v>73</v>
      </c>
    </row>
    <row r="247" spans="1:16" ht="15" customHeight="1" x14ac:dyDescent="0.25">
      <c r="A247" s="2" t="s">
        <v>527</v>
      </c>
      <c r="B247" s="3">
        <v>45433</v>
      </c>
      <c r="C247" s="2" t="s">
        <v>54</v>
      </c>
      <c r="D247" s="2" t="s">
        <v>55</v>
      </c>
      <c r="E247" s="2" t="s">
        <v>19</v>
      </c>
      <c r="F247" s="2" t="s">
        <v>56</v>
      </c>
      <c r="G247" s="2" t="s">
        <v>466</v>
      </c>
      <c r="H247" s="2" t="s">
        <v>467</v>
      </c>
      <c r="I247" s="2" t="s">
        <v>59</v>
      </c>
      <c r="J247" s="4">
        <v>7</v>
      </c>
      <c r="K247" s="5">
        <v>3538.07</v>
      </c>
      <c r="L247" s="6">
        <v>0.2</v>
      </c>
      <c r="M247" s="5">
        <v>19813.189999999999</v>
      </c>
      <c r="N247" s="5">
        <v>5715.35</v>
      </c>
      <c r="O247" s="5">
        <v>77.89</v>
      </c>
      <c r="P247" s="2" t="s">
        <v>73</v>
      </c>
    </row>
    <row r="248" spans="1:16" ht="15" customHeight="1" x14ac:dyDescent="0.25">
      <c r="A248" s="2" t="s">
        <v>528</v>
      </c>
      <c r="B248" s="3">
        <v>45392</v>
      </c>
      <c r="C248" s="2" t="s">
        <v>278</v>
      </c>
      <c r="D248" s="2" t="s">
        <v>279</v>
      </c>
      <c r="E248" s="2" t="s">
        <v>19</v>
      </c>
      <c r="F248" s="2" t="s">
        <v>29</v>
      </c>
      <c r="G248" s="2" t="s">
        <v>37</v>
      </c>
      <c r="H248" s="2" t="s">
        <v>38</v>
      </c>
      <c r="I248" s="2" t="s">
        <v>39</v>
      </c>
      <c r="J248" s="4">
        <v>8</v>
      </c>
      <c r="K248" s="5">
        <v>892.07</v>
      </c>
      <c r="L248" s="6">
        <v>0</v>
      </c>
      <c r="M248" s="5">
        <v>7136.56</v>
      </c>
      <c r="N248" s="5">
        <v>3199.38</v>
      </c>
      <c r="O248" s="5">
        <v>111.01</v>
      </c>
      <c r="P248" s="2" t="s">
        <v>32</v>
      </c>
    </row>
    <row r="249" spans="1:16" ht="15" customHeight="1" x14ac:dyDescent="0.25">
      <c r="A249" s="2" t="s">
        <v>529</v>
      </c>
      <c r="B249" s="3">
        <v>45463</v>
      </c>
      <c r="C249" s="2" t="s">
        <v>236</v>
      </c>
      <c r="D249" s="2" t="s">
        <v>237</v>
      </c>
      <c r="E249" s="2" t="s">
        <v>19</v>
      </c>
      <c r="F249" s="2" t="s">
        <v>107</v>
      </c>
      <c r="G249" s="2" t="s">
        <v>120</v>
      </c>
      <c r="H249" s="2" t="s">
        <v>121</v>
      </c>
      <c r="I249" s="2" t="s">
        <v>46</v>
      </c>
      <c r="J249" s="4">
        <v>7</v>
      </c>
      <c r="K249" s="5">
        <v>661.61</v>
      </c>
      <c r="L249" s="6">
        <v>0.2</v>
      </c>
      <c r="M249" s="5">
        <v>3705.02</v>
      </c>
      <c r="N249" s="5">
        <v>404.04</v>
      </c>
      <c r="O249" s="5">
        <v>156.71</v>
      </c>
      <c r="P249" s="2" t="s">
        <v>40</v>
      </c>
    </row>
    <row r="250" spans="1:16" ht="15" customHeight="1" x14ac:dyDescent="0.25">
      <c r="A250" s="2" t="s">
        <v>530</v>
      </c>
      <c r="B250" s="3">
        <v>45537</v>
      </c>
      <c r="C250" s="2" t="s">
        <v>250</v>
      </c>
      <c r="D250" s="2" t="s">
        <v>251</v>
      </c>
      <c r="E250" s="2" t="s">
        <v>28</v>
      </c>
      <c r="F250" s="2" t="s">
        <v>107</v>
      </c>
      <c r="G250" s="2" t="s">
        <v>133</v>
      </c>
      <c r="H250" s="2" t="s">
        <v>134</v>
      </c>
      <c r="I250" s="2" t="s">
        <v>39</v>
      </c>
      <c r="J250" s="4">
        <v>6</v>
      </c>
      <c r="K250" s="5">
        <v>1217.1300000000001</v>
      </c>
      <c r="L250" s="6">
        <v>0.05</v>
      </c>
      <c r="M250" s="5">
        <v>6937.64</v>
      </c>
      <c r="N250" s="5">
        <v>1152.51</v>
      </c>
      <c r="O250" s="5">
        <v>87.03</v>
      </c>
      <c r="P250" s="2" t="s">
        <v>88</v>
      </c>
    </row>
    <row r="251" spans="1:16" ht="15" customHeight="1" x14ac:dyDescent="0.25">
      <c r="A251" s="2" t="s">
        <v>531</v>
      </c>
      <c r="B251" s="3">
        <v>45484</v>
      </c>
      <c r="C251" s="2" t="s">
        <v>156</v>
      </c>
      <c r="D251" s="2" t="s">
        <v>157</v>
      </c>
      <c r="E251" s="2" t="s">
        <v>19</v>
      </c>
      <c r="F251" s="2" t="s">
        <v>36</v>
      </c>
      <c r="G251" s="2" t="s">
        <v>57</v>
      </c>
      <c r="H251" s="2" t="s">
        <v>58</v>
      </c>
      <c r="I251" s="2" t="s">
        <v>59</v>
      </c>
      <c r="J251" s="4">
        <v>5</v>
      </c>
      <c r="K251" s="5">
        <v>7568.66</v>
      </c>
      <c r="L251" s="6">
        <v>0.05</v>
      </c>
      <c r="M251" s="5">
        <v>35951.14</v>
      </c>
      <c r="N251" s="5">
        <v>11683.98</v>
      </c>
      <c r="O251" s="5">
        <v>234.38</v>
      </c>
      <c r="P251" s="2" t="s">
        <v>73</v>
      </c>
    </row>
    <row r="252" spans="1:16" ht="15" customHeight="1" x14ac:dyDescent="0.25">
      <c r="A252" s="2" t="s">
        <v>532</v>
      </c>
      <c r="B252" s="3">
        <v>45641</v>
      </c>
      <c r="C252" s="2" t="s">
        <v>330</v>
      </c>
      <c r="D252" s="2" t="s">
        <v>248</v>
      </c>
      <c r="E252" s="2" t="s">
        <v>19</v>
      </c>
      <c r="F252" s="2" t="s">
        <v>36</v>
      </c>
      <c r="G252" s="2" t="s">
        <v>318</v>
      </c>
      <c r="H252" s="2" t="s">
        <v>319</v>
      </c>
      <c r="I252" s="2" t="s">
        <v>39</v>
      </c>
      <c r="J252" s="4">
        <v>9</v>
      </c>
      <c r="K252" s="5">
        <v>523.80999999999995</v>
      </c>
      <c r="L252" s="6">
        <v>0.15</v>
      </c>
      <c r="M252" s="5">
        <v>4007.15</v>
      </c>
      <c r="N252" s="5">
        <v>870.24</v>
      </c>
      <c r="O252" s="5">
        <v>182.92</v>
      </c>
      <c r="P252" s="2" t="s">
        <v>88</v>
      </c>
    </row>
    <row r="253" spans="1:16" ht="15" customHeight="1" x14ac:dyDescent="0.25">
      <c r="A253" s="2" t="s">
        <v>533</v>
      </c>
      <c r="B253" s="3">
        <v>45636</v>
      </c>
      <c r="C253" s="2" t="s">
        <v>403</v>
      </c>
      <c r="D253" s="2" t="s">
        <v>404</v>
      </c>
      <c r="E253" s="2" t="s">
        <v>113</v>
      </c>
      <c r="F253" s="2" t="s">
        <v>20</v>
      </c>
      <c r="G253" s="2" t="s">
        <v>261</v>
      </c>
      <c r="H253" s="2" t="s">
        <v>262</v>
      </c>
      <c r="I253" s="2" t="s">
        <v>23</v>
      </c>
      <c r="J253" s="4">
        <v>8</v>
      </c>
      <c r="K253" s="5">
        <v>1142.8</v>
      </c>
      <c r="L253" s="6">
        <v>0</v>
      </c>
      <c r="M253" s="5">
        <v>9142.4</v>
      </c>
      <c r="N253" s="5">
        <v>3560.92</v>
      </c>
      <c r="O253" s="5">
        <v>171.49</v>
      </c>
      <c r="P253" s="2" t="s">
        <v>88</v>
      </c>
    </row>
    <row r="254" spans="1:16" ht="15" customHeight="1" x14ac:dyDescent="0.25">
      <c r="A254" s="2" t="s">
        <v>534</v>
      </c>
      <c r="B254" s="3">
        <v>45598</v>
      </c>
      <c r="C254" s="2" t="s">
        <v>236</v>
      </c>
      <c r="D254" s="2" t="s">
        <v>237</v>
      </c>
      <c r="E254" s="2" t="s">
        <v>19</v>
      </c>
      <c r="F254" s="2" t="s">
        <v>107</v>
      </c>
      <c r="G254" s="2" t="s">
        <v>290</v>
      </c>
      <c r="H254" s="2" t="s">
        <v>291</v>
      </c>
      <c r="I254" s="2" t="s">
        <v>23</v>
      </c>
      <c r="J254" s="4">
        <v>8</v>
      </c>
      <c r="K254" s="5">
        <v>2870.75</v>
      </c>
      <c r="L254" s="6">
        <v>0.1</v>
      </c>
      <c r="M254" s="5">
        <v>20669.400000000001</v>
      </c>
      <c r="N254" s="5">
        <v>5129.38</v>
      </c>
      <c r="O254" s="5">
        <v>231.69</v>
      </c>
      <c r="P254" s="2" t="s">
        <v>88</v>
      </c>
    </row>
    <row r="255" spans="1:16" ht="15" customHeight="1" x14ac:dyDescent="0.25">
      <c r="A255" s="2" t="s">
        <v>535</v>
      </c>
      <c r="B255" s="3">
        <v>45651</v>
      </c>
      <c r="C255" s="2" t="s">
        <v>17</v>
      </c>
      <c r="D255" s="2" t="s">
        <v>18</v>
      </c>
      <c r="E255" s="2" t="s">
        <v>19</v>
      </c>
      <c r="F255" s="2" t="s">
        <v>20</v>
      </c>
      <c r="G255" s="2" t="s">
        <v>21</v>
      </c>
      <c r="H255" s="2" t="s">
        <v>22</v>
      </c>
      <c r="I255" s="2" t="s">
        <v>23</v>
      </c>
      <c r="J255" s="4">
        <v>9</v>
      </c>
      <c r="K255" s="5">
        <v>2915.9</v>
      </c>
      <c r="L255" s="6">
        <v>0</v>
      </c>
      <c r="M255" s="5">
        <v>26243.1</v>
      </c>
      <c r="N255" s="5">
        <v>11091.85</v>
      </c>
      <c r="O255" s="5">
        <v>77.09</v>
      </c>
      <c r="P255" s="2" t="s">
        <v>40</v>
      </c>
    </row>
    <row r="256" spans="1:16" ht="15" customHeight="1" x14ac:dyDescent="0.25">
      <c r="A256" s="2" t="s">
        <v>536</v>
      </c>
      <c r="B256" s="3">
        <v>45580</v>
      </c>
      <c r="C256" s="2" t="s">
        <v>164</v>
      </c>
      <c r="D256" s="2" t="s">
        <v>165</v>
      </c>
      <c r="E256" s="2" t="s">
        <v>19</v>
      </c>
      <c r="F256" s="2" t="s">
        <v>36</v>
      </c>
      <c r="G256" s="2" t="s">
        <v>190</v>
      </c>
      <c r="H256" s="2" t="s">
        <v>191</v>
      </c>
      <c r="I256" s="2" t="s">
        <v>39</v>
      </c>
      <c r="J256" s="4">
        <v>11</v>
      </c>
      <c r="K256" s="5">
        <v>3516.37</v>
      </c>
      <c r="L256" s="6">
        <v>0.05</v>
      </c>
      <c r="M256" s="5">
        <v>36746.07</v>
      </c>
      <c r="N256" s="5">
        <v>6122.95</v>
      </c>
      <c r="O256" s="5">
        <v>96.27</v>
      </c>
      <c r="P256" s="2" t="s">
        <v>88</v>
      </c>
    </row>
    <row r="257" spans="1:16" ht="15" customHeight="1" x14ac:dyDescent="0.25">
      <c r="A257" s="2" t="s">
        <v>537</v>
      </c>
      <c r="B257" s="3">
        <v>45424</v>
      </c>
      <c r="C257" s="2" t="s">
        <v>538</v>
      </c>
      <c r="D257" s="2" t="s">
        <v>539</v>
      </c>
      <c r="E257" s="2" t="s">
        <v>28</v>
      </c>
      <c r="F257" s="2" t="s">
        <v>107</v>
      </c>
      <c r="G257" s="2" t="s">
        <v>210</v>
      </c>
      <c r="H257" s="2" t="s">
        <v>211</v>
      </c>
      <c r="I257" s="2" t="s">
        <v>23</v>
      </c>
      <c r="J257" s="4">
        <v>4</v>
      </c>
      <c r="K257" s="5">
        <v>2591.64</v>
      </c>
      <c r="L257" s="6">
        <v>0.1</v>
      </c>
      <c r="M257" s="5">
        <v>9329.9</v>
      </c>
      <c r="N257" s="5">
        <v>2182.17</v>
      </c>
      <c r="O257" s="5">
        <v>178.16</v>
      </c>
      <c r="P257" s="2" t="s">
        <v>73</v>
      </c>
    </row>
    <row r="258" spans="1:16" ht="15" customHeight="1" x14ac:dyDescent="0.25">
      <c r="A258" s="2" t="s">
        <v>540</v>
      </c>
      <c r="B258" s="3">
        <v>45529</v>
      </c>
      <c r="C258" s="2" t="s">
        <v>208</v>
      </c>
      <c r="D258" s="2" t="s">
        <v>209</v>
      </c>
      <c r="E258" s="2" t="s">
        <v>19</v>
      </c>
      <c r="F258" s="2" t="s">
        <v>29</v>
      </c>
      <c r="G258" s="2" t="s">
        <v>108</v>
      </c>
      <c r="H258" s="2" t="s">
        <v>109</v>
      </c>
      <c r="I258" s="2" t="s">
        <v>46</v>
      </c>
      <c r="J258" s="4">
        <v>11</v>
      </c>
      <c r="K258" s="5">
        <v>491.44</v>
      </c>
      <c r="L258" s="6">
        <v>0.1</v>
      </c>
      <c r="M258" s="5">
        <v>4865.26</v>
      </c>
      <c r="N258" s="5">
        <v>1688.32</v>
      </c>
      <c r="O258" s="5">
        <v>249.47</v>
      </c>
      <c r="P258" s="2" t="s">
        <v>88</v>
      </c>
    </row>
    <row r="259" spans="1:16" ht="15" customHeight="1" x14ac:dyDescent="0.25">
      <c r="A259" s="2" t="s">
        <v>541</v>
      </c>
      <c r="B259" s="3">
        <v>45335</v>
      </c>
      <c r="C259" s="2" t="s">
        <v>538</v>
      </c>
      <c r="D259" s="2" t="s">
        <v>539</v>
      </c>
      <c r="E259" s="2" t="s">
        <v>28</v>
      </c>
      <c r="F259" s="2" t="s">
        <v>107</v>
      </c>
      <c r="G259" s="2" t="s">
        <v>108</v>
      </c>
      <c r="H259" s="2" t="s">
        <v>109</v>
      </c>
      <c r="I259" s="2" t="s">
        <v>46</v>
      </c>
      <c r="J259" s="4">
        <v>2</v>
      </c>
      <c r="K259" s="5">
        <v>673.49</v>
      </c>
      <c r="L259" s="6">
        <v>0.15</v>
      </c>
      <c r="M259" s="5">
        <v>1144.93</v>
      </c>
      <c r="N259" s="5">
        <v>356.38</v>
      </c>
      <c r="O259" s="5">
        <v>91.73</v>
      </c>
      <c r="P259" s="2" t="s">
        <v>88</v>
      </c>
    </row>
    <row r="260" spans="1:16" ht="15" customHeight="1" x14ac:dyDescent="0.25">
      <c r="A260" s="2" t="s">
        <v>542</v>
      </c>
      <c r="B260" s="3">
        <v>45470</v>
      </c>
      <c r="C260" s="2" t="s">
        <v>42</v>
      </c>
      <c r="D260" s="2" t="s">
        <v>43</v>
      </c>
      <c r="E260" s="2" t="s">
        <v>19</v>
      </c>
      <c r="F260" s="2" t="s">
        <v>36</v>
      </c>
      <c r="G260" s="2" t="s">
        <v>144</v>
      </c>
      <c r="H260" s="2" t="s">
        <v>145</v>
      </c>
      <c r="I260" s="2" t="s">
        <v>39</v>
      </c>
      <c r="J260" s="4">
        <v>8</v>
      </c>
      <c r="K260" s="5">
        <v>849.07</v>
      </c>
      <c r="L260" s="6">
        <v>0.15</v>
      </c>
      <c r="M260" s="5">
        <v>5773.68</v>
      </c>
      <c r="N260" s="5">
        <v>854.57</v>
      </c>
      <c r="O260" s="5">
        <v>93.35</v>
      </c>
      <c r="P260" s="2" t="s">
        <v>40</v>
      </c>
    </row>
    <row r="261" spans="1:16" ht="15" customHeight="1" x14ac:dyDescent="0.25">
      <c r="A261" s="2" t="s">
        <v>543</v>
      </c>
      <c r="B261" s="3">
        <v>45467</v>
      </c>
      <c r="C261" s="2" t="s">
        <v>275</v>
      </c>
      <c r="D261" s="2" t="s">
        <v>276</v>
      </c>
      <c r="E261" s="2" t="s">
        <v>19</v>
      </c>
      <c r="F261" s="2" t="s">
        <v>107</v>
      </c>
      <c r="G261" s="2" t="s">
        <v>175</v>
      </c>
      <c r="H261" s="2" t="s">
        <v>176</v>
      </c>
      <c r="I261" s="2" t="s">
        <v>23</v>
      </c>
      <c r="J261" s="4">
        <v>11</v>
      </c>
      <c r="K261" s="5">
        <v>1026.51</v>
      </c>
      <c r="L261" s="6">
        <v>0.2</v>
      </c>
      <c r="M261" s="5">
        <v>9033.2900000000009</v>
      </c>
      <c r="N261" s="5">
        <v>2358.9499999999998</v>
      </c>
      <c r="O261" s="5">
        <v>246.3</v>
      </c>
      <c r="P261" s="2" t="s">
        <v>73</v>
      </c>
    </row>
    <row r="262" spans="1:16" ht="15" customHeight="1" x14ac:dyDescent="0.25">
      <c r="A262" s="2" t="s">
        <v>544</v>
      </c>
      <c r="B262" s="3">
        <v>45373</v>
      </c>
      <c r="C262" s="2" t="s">
        <v>147</v>
      </c>
      <c r="D262" s="2" t="s">
        <v>148</v>
      </c>
      <c r="E262" s="2" t="s">
        <v>19</v>
      </c>
      <c r="F262" s="2" t="s">
        <v>36</v>
      </c>
      <c r="G262" s="2" t="s">
        <v>433</v>
      </c>
      <c r="H262" s="2" t="s">
        <v>434</v>
      </c>
      <c r="I262" s="2" t="s">
        <v>59</v>
      </c>
      <c r="J262" s="4">
        <v>6</v>
      </c>
      <c r="K262" s="5">
        <v>5566.82</v>
      </c>
      <c r="L262" s="6">
        <v>0.05</v>
      </c>
      <c r="M262" s="5">
        <v>31730.87</v>
      </c>
      <c r="N262" s="5">
        <v>11424.32</v>
      </c>
      <c r="O262" s="5">
        <v>113.16</v>
      </c>
      <c r="P262" s="2" t="s">
        <v>73</v>
      </c>
    </row>
    <row r="263" spans="1:16" ht="15" customHeight="1" x14ac:dyDescent="0.25">
      <c r="A263" s="2" t="s">
        <v>545</v>
      </c>
      <c r="B263" s="3">
        <v>45306</v>
      </c>
      <c r="C263" s="2" t="s">
        <v>202</v>
      </c>
      <c r="D263" s="2" t="s">
        <v>203</v>
      </c>
      <c r="E263" s="2" t="s">
        <v>19</v>
      </c>
      <c r="F263" s="2" t="s">
        <v>56</v>
      </c>
      <c r="G263" s="2" t="s">
        <v>153</v>
      </c>
      <c r="H263" s="2" t="s">
        <v>154</v>
      </c>
      <c r="I263" s="2" t="s">
        <v>52</v>
      </c>
      <c r="J263" s="4">
        <v>12</v>
      </c>
      <c r="K263" s="5">
        <v>1651.04</v>
      </c>
      <c r="L263" s="6">
        <v>0</v>
      </c>
      <c r="M263" s="5">
        <v>19812.48</v>
      </c>
      <c r="N263" s="5">
        <v>6688.82</v>
      </c>
      <c r="O263" s="5">
        <v>118.8</v>
      </c>
      <c r="P263" s="2" t="s">
        <v>24</v>
      </c>
    </row>
    <row r="264" spans="1:16" ht="15" customHeight="1" x14ac:dyDescent="0.25">
      <c r="A264" s="2" t="s">
        <v>546</v>
      </c>
      <c r="B264" s="3">
        <v>45652</v>
      </c>
      <c r="C264" s="2" t="s">
        <v>323</v>
      </c>
      <c r="D264" s="2" t="s">
        <v>324</v>
      </c>
      <c r="E264" s="2" t="s">
        <v>19</v>
      </c>
      <c r="F264" s="2" t="s">
        <v>20</v>
      </c>
      <c r="G264" s="2" t="s">
        <v>239</v>
      </c>
      <c r="H264" s="2" t="s">
        <v>240</v>
      </c>
      <c r="I264" s="2" t="s">
        <v>59</v>
      </c>
      <c r="J264" s="4">
        <v>2</v>
      </c>
      <c r="K264" s="5">
        <v>5703.31</v>
      </c>
      <c r="L264" s="6">
        <v>0.2</v>
      </c>
      <c r="M264" s="5">
        <v>9125.2999999999993</v>
      </c>
      <c r="N264" s="5">
        <v>365.07</v>
      </c>
      <c r="O264" s="5">
        <v>63</v>
      </c>
      <c r="P264" s="2" t="s">
        <v>40</v>
      </c>
    </row>
    <row r="265" spans="1:16" ht="15" customHeight="1" x14ac:dyDescent="0.25">
      <c r="A265" s="2" t="s">
        <v>547</v>
      </c>
      <c r="B265" s="3">
        <v>45426</v>
      </c>
      <c r="C265" s="2" t="s">
        <v>105</v>
      </c>
      <c r="D265" s="2" t="s">
        <v>106</v>
      </c>
      <c r="E265" s="2" t="s">
        <v>19</v>
      </c>
      <c r="F265" s="2" t="s">
        <v>107</v>
      </c>
      <c r="G265" s="2" t="s">
        <v>193</v>
      </c>
      <c r="H265" s="2" t="s">
        <v>194</v>
      </c>
      <c r="I265" s="2" t="s">
        <v>52</v>
      </c>
      <c r="J265" s="4">
        <v>11</v>
      </c>
      <c r="K265" s="5">
        <v>2197.8000000000002</v>
      </c>
      <c r="L265" s="6">
        <v>0.1</v>
      </c>
      <c r="M265" s="5">
        <v>21758.22</v>
      </c>
      <c r="N265" s="5">
        <v>2623.58</v>
      </c>
      <c r="O265" s="5">
        <v>92.08</v>
      </c>
      <c r="P265" s="2" t="s">
        <v>88</v>
      </c>
    </row>
    <row r="266" spans="1:16" ht="15" customHeight="1" x14ac:dyDescent="0.25">
      <c r="A266" s="2" t="s">
        <v>548</v>
      </c>
      <c r="B266" s="3">
        <v>45350</v>
      </c>
      <c r="C266" s="2" t="s">
        <v>312</v>
      </c>
      <c r="D266" s="2" t="s">
        <v>313</v>
      </c>
      <c r="E266" s="2" t="s">
        <v>19</v>
      </c>
      <c r="F266" s="2" t="s">
        <v>56</v>
      </c>
      <c r="G266" s="2" t="s">
        <v>50</v>
      </c>
      <c r="H266" s="2" t="s">
        <v>51</v>
      </c>
      <c r="I266" s="2" t="s">
        <v>52</v>
      </c>
      <c r="J266" s="4">
        <v>6</v>
      </c>
      <c r="K266" s="5">
        <v>1074.3699999999999</v>
      </c>
      <c r="L266" s="6">
        <v>0.05</v>
      </c>
      <c r="M266" s="5">
        <v>6123.91</v>
      </c>
      <c r="N266" s="5">
        <v>1583.58</v>
      </c>
      <c r="O266" s="5">
        <v>207.16</v>
      </c>
      <c r="P266" s="2" t="s">
        <v>40</v>
      </c>
    </row>
    <row r="267" spans="1:16" ht="15" customHeight="1" x14ac:dyDescent="0.25">
      <c r="A267" s="2" t="s">
        <v>549</v>
      </c>
      <c r="B267" s="3">
        <v>45636</v>
      </c>
      <c r="C267" s="2" t="s">
        <v>312</v>
      </c>
      <c r="D267" s="2" t="s">
        <v>313</v>
      </c>
      <c r="E267" s="2" t="s">
        <v>19</v>
      </c>
      <c r="F267" s="2" t="s">
        <v>56</v>
      </c>
      <c r="G267" s="2" t="s">
        <v>385</v>
      </c>
      <c r="H267" s="2" t="s">
        <v>386</v>
      </c>
      <c r="I267" s="2" t="s">
        <v>39</v>
      </c>
      <c r="J267" s="4">
        <v>3</v>
      </c>
      <c r="K267" s="5">
        <v>1840.65</v>
      </c>
      <c r="L267" s="6">
        <v>0</v>
      </c>
      <c r="M267" s="5">
        <v>5521.95</v>
      </c>
      <c r="N267" s="5">
        <v>2063.3000000000002</v>
      </c>
      <c r="O267" s="5">
        <v>62.1</v>
      </c>
      <c r="P267" s="2" t="s">
        <v>73</v>
      </c>
    </row>
    <row r="268" spans="1:16" ht="15" customHeight="1" x14ac:dyDescent="0.25">
      <c r="A268" s="2" t="s">
        <v>550</v>
      </c>
      <c r="B268" s="3">
        <v>45597</v>
      </c>
      <c r="C268" s="2" t="s">
        <v>26</v>
      </c>
      <c r="D268" s="2" t="s">
        <v>27</v>
      </c>
      <c r="E268" s="2" t="s">
        <v>28</v>
      </c>
      <c r="F268" s="2" t="s">
        <v>29</v>
      </c>
      <c r="G268" s="2" t="s">
        <v>153</v>
      </c>
      <c r="H268" s="2" t="s">
        <v>154</v>
      </c>
      <c r="I268" s="2" t="s">
        <v>52</v>
      </c>
      <c r="J268" s="4">
        <v>3</v>
      </c>
      <c r="K268" s="5">
        <v>1564.57</v>
      </c>
      <c r="L268" s="6">
        <v>0.05</v>
      </c>
      <c r="M268" s="5">
        <v>4459.0200000000004</v>
      </c>
      <c r="N268" s="5">
        <v>1659.51</v>
      </c>
      <c r="O268" s="5">
        <v>166.17</v>
      </c>
      <c r="P268" s="2" t="s">
        <v>73</v>
      </c>
    </row>
    <row r="269" spans="1:16" ht="15" customHeight="1" x14ac:dyDescent="0.25">
      <c r="A269" s="2" t="s">
        <v>551</v>
      </c>
      <c r="B269" s="3">
        <v>45439</v>
      </c>
      <c r="C269" s="2" t="s">
        <v>306</v>
      </c>
      <c r="D269" s="2" t="s">
        <v>307</v>
      </c>
      <c r="E269" s="2" t="s">
        <v>19</v>
      </c>
      <c r="F269" s="2" t="s">
        <v>29</v>
      </c>
      <c r="G269" s="2" t="s">
        <v>77</v>
      </c>
      <c r="H269" s="2" t="s">
        <v>78</v>
      </c>
      <c r="I269" s="2" t="s">
        <v>59</v>
      </c>
      <c r="J269" s="4">
        <v>3</v>
      </c>
      <c r="K269" s="5">
        <v>2659.37</v>
      </c>
      <c r="L269" s="6">
        <v>0.2</v>
      </c>
      <c r="M269" s="5">
        <v>6382.49</v>
      </c>
      <c r="N269" s="5">
        <v>1095</v>
      </c>
      <c r="O269" s="5">
        <v>32.33</v>
      </c>
      <c r="P269" s="2" t="s">
        <v>40</v>
      </c>
    </row>
    <row r="270" spans="1:16" ht="15" customHeight="1" x14ac:dyDescent="0.25">
      <c r="A270" s="2" t="s">
        <v>552</v>
      </c>
      <c r="B270" s="3">
        <v>45391</v>
      </c>
      <c r="C270" s="2" t="s">
        <v>48</v>
      </c>
      <c r="D270" s="2" t="s">
        <v>49</v>
      </c>
      <c r="E270" s="2" t="s">
        <v>19</v>
      </c>
      <c r="F270" s="2" t="s">
        <v>29</v>
      </c>
      <c r="G270" s="2" t="s">
        <v>166</v>
      </c>
      <c r="H270" s="2" t="s">
        <v>167</v>
      </c>
      <c r="I270" s="2" t="s">
        <v>52</v>
      </c>
      <c r="J270" s="4">
        <v>7</v>
      </c>
      <c r="K270" s="5">
        <v>2420.42</v>
      </c>
      <c r="L270" s="6">
        <v>0.1</v>
      </c>
      <c r="M270" s="5">
        <v>15248.65</v>
      </c>
      <c r="N270" s="5">
        <v>3163.8</v>
      </c>
      <c r="O270" s="5">
        <v>114.1</v>
      </c>
      <c r="P270" s="2" t="s">
        <v>88</v>
      </c>
    </row>
    <row r="271" spans="1:16" ht="15" customHeight="1" x14ac:dyDescent="0.25">
      <c r="A271" s="2" t="s">
        <v>553</v>
      </c>
      <c r="B271" s="3">
        <v>45377</v>
      </c>
      <c r="C271" s="2" t="s">
        <v>131</v>
      </c>
      <c r="D271" s="2" t="s">
        <v>132</v>
      </c>
      <c r="E271" s="2" t="s">
        <v>113</v>
      </c>
      <c r="F271" s="2" t="s">
        <v>20</v>
      </c>
      <c r="G271" s="2" t="s">
        <v>158</v>
      </c>
      <c r="H271" s="2" t="s">
        <v>159</v>
      </c>
      <c r="I271" s="2" t="s">
        <v>52</v>
      </c>
      <c r="J271" s="4">
        <v>2</v>
      </c>
      <c r="K271" s="5">
        <v>1543.88</v>
      </c>
      <c r="L271" s="6">
        <v>0.2</v>
      </c>
      <c r="M271" s="5">
        <v>2470.21</v>
      </c>
      <c r="N271" s="5">
        <v>184.45</v>
      </c>
      <c r="O271" s="5">
        <v>87.18</v>
      </c>
      <c r="P271" s="2" t="s">
        <v>40</v>
      </c>
    </row>
    <row r="272" spans="1:16" ht="15" customHeight="1" x14ac:dyDescent="0.25">
      <c r="A272" s="2" t="s">
        <v>554</v>
      </c>
      <c r="B272" s="3">
        <v>45378</v>
      </c>
      <c r="C272" s="2" t="s">
        <v>128</v>
      </c>
      <c r="D272" s="2" t="s">
        <v>129</v>
      </c>
      <c r="E272" s="2" t="s">
        <v>28</v>
      </c>
      <c r="F272" s="2" t="s">
        <v>107</v>
      </c>
      <c r="G272" s="2" t="s">
        <v>61</v>
      </c>
      <c r="H272" s="2" t="s">
        <v>62</v>
      </c>
      <c r="I272" s="2" t="s">
        <v>39</v>
      </c>
      <c r="J272" s="4">
        <v>8</v>
      </c>
      <c r="K272" s="5">
        <v>3001.99</v>
      </c>
      <c r="L272" s="6">
        <v>0.2</v>
      </c>
      <c r="M272" s="5">
        <v>19212.740000000002</v>
      </c>
      <c r="N272" s="5">
        <v>1405.42</v>
      </c>
      <c r="O272" s="5">
        <v>146.44</v>
      </c>
      <c r="P272" s="2" t="s">
        <v>24</v>
      </c>
    </row>
    <row r="273" spans="1:16" ht="15" customHeight="1" x14ac:dyDescent="0.25">
      <c r="A273" s="2" t="s">
        <v>555</v>
      </c>
      <c r="B273" s="3">
        <v>45570</v>
      </c>
      <c r="C273" s="2" t="s">
        <v>156</v>
      </c>
      <c r="D273" s="2" t="s">
        <v>157</v>
      </c>
      <c r="E273" s="2" t="s">
        <v>19</v>
      </c>
      <c r="F273" s="2" t="s">
        <v>36</v>
      </c>
      <c r="G273" s="2" t="s">
        <v>370</v>
      </c>
      <c r="H273" s="2" t="s">
        <v>371</v>
      </c>
      <c r="I273" s="2" t="s">
        <v>23</v>
      </c>
      <c r="J273" s="4">
        <v>6</v>
      </c>
      <c r="K273" s="5">
        <v>2713.97</v>
      </c>
      <c r="L273" s="6">
        <v>0.2</v>
      </c>
      <c r="M273" s="5">
        <v>13027.06</v>
      </c>
      <c r="N273" s="5">
        <v>3901.56</v>
      </c>
      <c r="O273" s="5">
        <v>185.37</v>
      </c>
      <c r="P273" s="2" t="s">
        <v>32</v>
      </c>
    </row>
    <row r="274" spans="1:16" ht="15" customHeight="1" x14ac:dyDescent="0.25">
      <c r="A274" s="2" t="s">
        <v>556</v>
      </c>
      <c r="B274" s="3">
        <v>45626</v>
      </c>
      <c r="C274" s="2" t="s">
        <v>323</v>
      </c>
      <c r="D274" s="2" t="s">
        <v>324</v>
      </c>
      <c r="E274" s="2" t="s">
        <v>19</v>
      </c>
      <c r="F274" s="2" t="s">
        <v>20</v>
      </c>
      <c r="G274" s="2" t="s">
        <v>193</v>
      </c>
      <c r="H274" s="2" t="s">
        <v>194</v>
      </c>
      <c r="I274" s="2" t="s">
        <v>52</v>
      </c>
      <c r="J274" s="4">
        <v>4</v>
      </c>
      <c r="K274" s="5">
        <v>954.96</v>
      </c>
      <c r="L274" s="6">
        <v>0</v>
      </c>
      <c r="M274" s="5">
        <v>3819.84</v>
      </c>
      <c r="N274" s="5">
        <v>1289.45</v>
      </c>
      <c r="O274" s="5">
        <v>100.17</v>
      </c>
      <c r="P274" s="2" t="s">
        <v>24</v>
      </c>
    </row>
    <row r="275" spans="1:16" ht="15" customHeight="1" x14ac:dyDescent="0.25">
      <c r="A275" s="2" t="s">
        <v>557</v>
      </c>
      <c r="B275" s="3">
        <v>45399</v>
      </c>
      <c r="C275" s="2" t="s">
        <v>267</v>
      </c>
      <c r="D275" s="2" t="s">
        <v>268</v>
      </c>
      <c r="E275" s="2" t="s">
        <v>28</v>
      </c>
      <c r="F275" s="2" t="s">
        <v>56</v>
      </c>
      <c r="G275" s="2" t="s">
        <v>220</v>
      </c>
      <c r="H275" s="2" t="s">
        <v>221</v>
      </c>
      <c r="I275" s="2" t="s">
        <v>23</v>
      </c>
      <c r="J275" s="4">
        <v>12</v>
      </c>
      <c r="K275" s="5">
        <v>2892.9</v>
      </c>
      <c r="L275" s="6">
        <v>0</v>
      </c>
      <c r="M275" s="5">
        <v>34714.800000000003</v>
      </c>
      <c r="N275" s="5">
        <v>8148.88</v>
      </c>
      <c r="O275" s="5">
        <v>160.36000000000001</v>
      </c>
      <c r="P275" s="2" t="s">
        <v>88</v>
      </c>
    </row>
    <row r="276" spans="1:16" ht="15" customHeight="1" x14ac:dyDescent="0.25">
      <c r="A276" s="2" t="s">
        <v>558</v>
      </c>
      <c r="B276" s="3">
        <v>45397</v>
      </c>
      <c r="C276" s="2" t="s">
        <v>164</v>
      </c>
      <c r="D276" s="2" t="s">
        <v>165</v>
      </c>
      <c r="E276" s="2" t="s">
        <v>19</v>
      </c>
      <c r="F276" s="2" t="s">
        <v>36</v>
      </c>
      <c r="G276" s="2" t="s">
        <v>318</v>
      </c>
      <c r="H276" s="2" t="s">
        <v>319</v>
      </c>
      <c r="I276" s="2" t="s">
        <v>39</v>
      </c>
      <c r="J276" s="4">
        <v>4</v>
      </c>
      <c r="K276" s="5">
        <v>4105.03</v>
      </c>
      <c r="L276" s="6">
        <v>0.1</v>
      </c>
      <c r="M276" s="5">
        <v>14778.11</v>
      </c>
      <c r="N276" s="5">
        <v>4306.9399999999996</v>
      </c>
      <c r="O276" s="5">
        <v>84.65</v>
      </c>
      <c r="P276" s="2" t="s">
        <v>32</v>
      </c>
    </row>
    <row r="277" spans="1:16" ht="15" customHeight="1" x14ac:dyDescent="0.25">
      <c r="A277" s="2" t="s">
        <v>559</v>
      </c>
      <c r="B277" s="3">
        <v>45440</v>
      </c>
      <c r="C277" s="2" t="s">
        <v>164</v>
      </c>
      <c r="D277" s="2" t="s">
        <v>165</v>
      </c>
      <c r="E277" s="2" t="s">
        <v>19</v>
      </c>
      <c r="F277" s="2" t="s">
        <v>36</v>
      </c>
      <c r="G277" s="2" t="s">
        <v>66</v>
      </c>
      <c r="H277" s="2" t="s">
        <v>67</v>
      </c>
      <c r="I277" s="2" t="s">
        <v>46</v>
      </c>
      <c r="J277" s="4">
        <v>10</v>
      </c>
      <c r="K277" s="5">
        <v>250.51</v>
      </c>
      <c r="L277" s="6">
        <v>0.2</v>
      </c>
      <c r="M277" s="5">
        <v>2004.08</v>
      </c>
      <c r="N277" s="5">
        <v>304.11</v>
      </c>
      <c r="O277" s="5">
        <v>227.04</v>
      </c>
      <c r="P277" s="2" t="s">
        <v>24</v>
      </c>
    </row>
    <row r="278" spans="1:16" ht="15" customHeight="1" x14ac:dyDescent="0.25">
      <c r="A278" s="2" t="s">
        <v>560</v>
      </c>
      <c r="B278" s="3">
        <v>45433</v>
      </c>
      <c r="C278" s="2" t="s">
        <v>139</v>
      </c>
      <c r="D278" s="2" t="s">
        <v>140</v>
      </c>
      <c r="E278" s="2" t="s">
        <v>113</v>
      </c>
      <c r="F278" s="2" t="s">
        <v>20</v>
      </c>
      <c r="G278" s="2" t="s">
        <v>335</v>
      </c>
      <c r="H278" s="2" t="s">
        <v>336</v>
      </c>
      <c r="I278" s="2" t="s">
        <v>52</v>
      </c>
      <c r="J278" s="4">
        <v>11</v>
      </c>
      <c r="K278" s="5">
        <v>579.15</v>
      </c>
      <c r="L278" s="6">
        <v>0.2</v>
      </c>
      <c r="M278" s="5">
        <v>5096.5200000000004</v>
      </c>
      <c r="N278" s="5">
        <v>1381.33</v>
      </c>
      <c r="O278" s="5">
        <v>53.64</v>
      </c>
      <c r="P278" s="2" t="s">
        <v>40</v>
      </c>
    </row>
    <row r="279" spans="1:16" ht="15" customHeight="1" x14ac:dyDescent="0.25">
      <c r="A279" s="2" t="s">
        <v>561</v>
      </c>
      <c r="B279" s="3">
        <v>45364</v>
      </c>
      <c r="C279" s="2" t="s">
        <v>34</v>
      </c>
      <c r="D279" s="2" t="s">
        <v>35</v>
      </c>
      <c r="E279" s="2" t="s">
        <v>28</v>
      </c>
      <c r="F279" s="2" t="s">
        <v>36</v>
      </c>
      <c r="G279" s="2" t="s">
        <v>158</v>
      </c>
      <c r="H279" s="2" t="s">
        <v>159</v>
      </c>
      <c r="I279" s="2" t="s">
        <v>52</v>
      </c>
      <c r="J279" s="4">
        <v>10</v>
      </c>
      <c r="K279" s="5">
        <v>1691.28</v>
      </c>
      <c r="L279" s="6">
        <v>0.15</v>
      </c>
      <c r="M279" s="5">
        <v>14375.88</v>
      </c>
      <c r="N279" s="5">
        <v>3322.41</v>
      </c>
      <c r="O279" s="5">
        <v>123.96</v>
      </c>
      <c r="P279" s="2" t="s">
        <v>24</v>
      </c>
    </row>
    <row r="280" spans="1:16" ht="15" customHeight="1" x14ac:dyDescent="0.25">
      <c r="A280" s="2" t="s">
        <v>562</v>
      </c>
      <c r="B280" s="3">
        <v>45647</v>
      </c>
      <c r="C280" s="2" t="s">
        <v>563</v>
      </c>
      <c r="D280" s="2" t="s">
        <v>564</v>
      </c>
      <c r="E280" s="2" t="s">
        <v>113</v>
      </c>
      <c r="F280" s="2" t="s">
        <v>56</v>
      </c>
      <c r="G280" s="2" t="s">
        <v>61</v>
      </c>
      <c r="H280" s="2" t="s">
        <v>62</v>
      </c>
      <c r="I280" s="2" t="s">
        <v>39</v>
      </c>
      <c r="J280" s="4">
        <v>6</v>
      </c>
      <c r="K280" s="5">
        <v>2491.6</v>
      </c>
      <c r="L280" s="6">
        <v>0.05</v>
      </c>
      <c r="M280" s="5">
        <v>14202.12</v>
      </c>
      <c r="N280" s="5">
        <v>4756.63</v>
      </c>
      <c r="O280" s="5">
        <v>20.57</v>
      </c>
      <c r="P280" s="2" t="s">
        <v>24</v>
      </c>
    </row>
    <row r="281" spans="1:16" ht="15" customHeight="1" x14ac:dyDescent="0.25">
      <c r="A281" s="2" t="s">
        <v>565</v>
      </c>
      <c r="B281" s="3">
        <v>45565</v>
      </c>
      <c r="C281" s="2" t="s">
        <v>281</v>
      </c>
      <c r="D281" s="2" t="s">
        <v>282</v>
      </c>
      <c r="E281" s="2" t="s">
        <v>19</v>
      </c>
      <c r="F281" s="2" t="s">
        <v>29</v>
      </c>
      <c r="G281" s="2" t="s">
        <v>183</v>
      </c>
      <c r="H281" s="2" t="s">
        <v>184</v>
      </c>
      <c r="I281" s="2" t="s">
        <v>46</v>
      </c>
      <c r="J281" s="4">
        <v>7</v>
      </c>
      <c r="K281" s="5">
        <v>213.37</v>
      </c>
      <c r="L281" s="6">
        <v>0.05</v>
      </c>
      <c r="M281" s="5">
        <v>1418.91</v>
      </c>
      <c r="N281" s="5">
        <v>289.44</v>
      </c>
      <c r="O281" s="5">
        <v>133.78</v>
      </c>
      <c r="P281" s="2" t="s">
        <v>40</v>
      </c>
    </row>
    <row r="282" spans="1:16" ht="15" customHeight="1" x14ac:dyDescent="0.25">
      <c r="A282" s="2" t="s">
        <v>566</v>
      </c>
      <c r="B282" s="3">
        <v>45587</v>
      </c>
      <c r="C282" s="2" t="s">
        <v>411</v>
      </c>
      <c r="D282" s="2" t="s">
        <v>412</v>
      </c>
      <c r="E282" s="2" t="s">
        <v>28</v>
      </c>
      <c r="F282" s="2" t="s">
        <v>29</v>
      </c>
      <c r="G282" s="2" t="s">
        <v>125</v>
      </c>
      <c r="H282" s="2" t="s">
        <v>126</v>
      </c>
      <c r="I282" s="2" t="s">
        <v>46</v>
      </c>
      <c r="J282" s="4">
        <v>3</v>
      </c>
      <c r="K282" s="5">
        <v>474.61</v>
      </c>
      <c r="L282" s="6">
        <v>0.05</v>
      </c>
      <c r="M282" s="5">
        <v>1352.64</v>
      </c>
      <c r="N282" s="5">
        <v>288.93</v>
      </c>
      <c r="O282" s="5">
        <v>225.66</v>
      </c>
      <c r="P282" s="2" t="s">
        <v>24</v>
      </c>
    </row>
    <row r="283" spans="1:16" ht="15" customHeight="1" x14ac:dyDescent="0.25">
      <c r="A283" s="2" t="s">
        <v>567</v>
      </c>
      <c r="B283" s="3">
        <v>45300</v>
      </c>
      <c r="C283" s="2" t="s">
        <v>275</v>
      </c>
      <c r="D283" s="2" t="s">
        <v>276</v>
      </c>
      <c r="E283" s="2" t="s">
        <v>19</v>
      </c>
      <c r="F283" s="2" t="s">
        <v>107</v>
      </c>
      <c r="G283" s="2" t="s">
        <v>290</v>
      </c>
      <c r="H283" s="2" t="s">
        <v>291</v>
      </c>
      <c r="I283" s="2" t="s">
        <v>23</v>
      </c>
      <c r="J283" s="4">
        <v>2</v>
      </c>
      <c r="K283" s="5">
        <v>4224.79</v>
      </c>
      <c r="L283" s="6">
        <v>0</v>
      </c>
      <c r="M283" s="5">
        <v>8449.58</v>
      </c>
      <c r="N283" s="5">
        <v>2870.14</v>
      </c>
      <c r="O283" s="5">
        <v>20.16</v>
      </c>
      <c r="P283" s="2" t="s">
        <v>88</v>
      </c>
    </row>
    <row r="284" spans="1:16" ht="15" customHeight="1" x14ac:dyDescent="0.25">
      <c r="A284" s="2" t="s">
        <v>568</v>
      </c>
      <c r="B284" s="3">
        <v>45373</v>
      </c>
      <c r="C284" s="2" t="s">
        <v>105</v>
      </c>
      <c r="D284" s="2" t="s">
        <v>106</v>
      </c>
      <c r="E284" s="2" t="s">
        <v>19</v>
      </c>
      <c r="F284" s="2" t="s">
        <v>107</v>
      </c>
      <c r="G284" s="2" t="s">
        <v>239</v>
      </c>
      <c r="H284" s="2" t="s">
        <v>240</v>
      </c>
      <c r="I284" s="2" t="s">
        <v>59</v>
      </c>
      <c r="J284" s="4">
        <v>5</v>
      </c>
      <c r="K284" s="5">
        <v>1928.05</v>
      </c>
      <c r="L284" s="6">
        <v>0</v>
      </c>
      <c r="M284" s="5">
        <v>9640.25</v>
      </c>
      <c r="N284" s="5">
        <v>3734.66</v>
      </c>
      <c r="O284" s="5">
        <v>105.52</v>
      </c>
      <c r="P284" s="2" t="s">
        <v>73</v>
      </c>
    </row>
    <row r="285" spans="1:16" ht="15" customHeight="1" x14ac:dyDescent="0.25">
      <c r="A285" s="2" t="s">
        <v>569</v>
      </c>
      <c r="B285" s="3">
        <v>45650</v>
      </c>
      <c r="C285" s="2" t="s">
        <v>298</v>
      </c>
      <c r="D285" s="2" t="s">
        <v>299</v>
      </c>
      <c r="E285" s="2" t="s">
        <v>113</v>
      </c>
      <c r="F285" s="2" t="s">
        <v>107</v>
      </c>
      <c r="G285" s="2" t="s">
        <v>172</v>
      </c>
      <c r="H285" s="2" t="s">
        <v>173</v>
      </c>
      <c r="I285" s="2" t="s">
        <v>52</v>
      </c>
      <c r="J285" s="4">
        <v>4</v>
      </c>
      <c r="K285" s="5">
        <v>1244.31</v>
      </c>
      <c r="L285" s="6">
        <v>0</v>
      </c>
      <c r="M285" s="5">
        <v>4977.24</v>
      </c>
      <c r="N285" s="5">
        <v>1364.14</v>
      </c>
      <c r="O285" s="5">
        <v>20.25</v>
      </c>
      <c r="P285" s="2" t="s">
        <v>88</v>
      </c>
    </row>
    <row r="286" spans="1:16" ht="15" customHeight="1" x14ac:dyDescent="0.25">
      <c r="A286" s="2" t="s">
        <v>570</v>
      </c>
      <c r="B286" s="3">
        <v>45407</v>
      </c>
      <c r="C286" s="2" t="s">
        <v>338</v>
      </c>
      <c r="D286" s="2" t="s">
        <v>339</v>
      </c>
      <c r="E286" s="2" t="s">
        <v>19</v>
      </c>
      <c r="F286" s="2" t="s">
        <v>29</v>
      </c>
      <c r="G286" s="2" t="s">
        <v>420</v>
      </c>
      <c r="H286" s="2" t="s">
        <v>421</v>
      </c>
      <c r="I286" s="2" t="s">
        <v>59</v>
      </c>
      <c r="J286" s="4">
        <v>9</v>
      </c>
      <c r="K286" s="5">
        <v>6503.87</v>
      </c>
      <c r="L286" s="6">
        <v>0</v>
      </c>
      <c r="M286" s="5">
        <v>58534.83</v>
      </c>
      <c r="N286" s="5">
        <v>26222.69</v>
      </c>
      <c r="O286" s="5">
        <v>99.02</v>
      </c>
      <c r="P286" s="2" t="s">
        <v>24</v>
      </c>
    </row>
    <row r="287" spans="1:16" ht="15" customHeight="1" x14ac:dyDescent="0.25">
      <c r="A287" s="2" t="s">
        <v>571</v>
      </c>
      <c r="B287" s="3">
        <v>45328</v>
      </c>
      <c r="C287" s="2" t="s">
        <v>136</v>
      </c>
      <c r="D287" s="2" t="s">
        <v>137</v>
      </c>
      <c r="E287" s="2" t="s">
        <v>113</v>
      </c>
      <c r="F287" s="2" t="s">
        <v>29</v>
      </c>
      <c r="G287" s="2" t="s">
        <v>77</v>
      </c>
      <c r="H287" s="2" t="s">
        <v>78</v>
      </c>
      <c r="I287" s="2" t="s">
        <v>59</v>
      </c>
      <c r="J287" s="4">
        <v>4</v>
      </c>
      <c r="K287" s="5">
        <v>4187.95</v>
      </c>
      <c r="L287" s="6">
        <v>0.15</v>
      </c>
      <c r="M287" s="5">
        <v>14239.03</v>
      </c>
      <c r="N287" s="5">
        <v>1650.23</v>
      </c>
      <c r="O287" s="5">
        <v>43.74</v>
      </c>
      <c r="P287" s="2" t="s">
        <v>40</v>
      </c>
    </row>
    <row r="288" spans="1:16" ht="15" customHeight="1" x14ac:dyDescent="0.25">
      <c r="A288" s="2" t="s">
        <v>572</v>
      </c>
      <c r="B288" s="3">
        <v>45360</v>
      </c>
      <c r="C288" s="2" t="s">
        <v>226</v>
      </c>
      <c r="D288" s="2" t="s">
        <v>227</v>
      </c>
      <c r="E288" s="2" t="s">
        <v>113</v>
      </c>
      <c r="F288" s="2" t="s">
        <v>56</v>
      </c>
      <c r="G288" s="2" t="s">
        <v>466</v>
      </c>
      <c r="H288" s="2" t="s">
        <v>467</v>
      </c>
      <c r="I288" s="2" t="s">
        <v>59</v>
      </c>
      <c r="J288" s="4">
        <v>11</v>
      </c>
      <c r="K288" s="5">
        <v>8944.93</v>
      </c>
      <c r="L288" s="6">
        <v>0</v>
      </c>
      <c r="M288" s="5">
        <v>98394.23</v>
      </c>
      <c r="N288" s="5">
        <v>42594.58</v>
      </c>
      <c r="O288" s="5">
        <v>149.56</v>
      </c>
      <c r="P288" s="2" t="s">
        <v>32</v>
      </c>
    </row>
    <row r="289" spans="1:16" ht="15" customHeight="1" x14ac:dyDescent="0.25">
      <c r="A289" s="2" t="s">
        <v>573</v>
      </c>
      <c r="B289" s="3">
        <v>45401</v>
      </c>
      <c r="C289" s="2" t="s">
        <v>164</v>
      </c>
      <c r="D289" s="2" t="s">
        <v>165</v>
      </c>
      <c r="E289" s="2" t="s">
        <v>19</v>
      </c>
      <c r="F289" s="2" t="s">
        <v>36</v>
      </c>
      <c r="G289" s="2" t="s">
        <v>309</v>
      </c>
      <c r="H289" s="2" t="s">
        <v>310</v>
      </c>
      <c r="I289" s="2" t="s">
        <v>52</v>
      </c>
      <c r="J289" s="4">
        <v>11</v>
      </c>
      <c r="K289" s="5">
        <v>1946.19</v>
      </c>
      <c r="L289" s="6">
        <v>0.05</v>
      </c>
      <c r="M289" s="5">
        <v>20337.689999999999</v>
      </c>
      <c r="N289" s="5">
        <v>5265.99</v>
      </c>
      <c r="O289" s="5">
        <v>121.75</v>
      </c>
      <c r="P289" s="2" t="s">
        <v>73</v>
      </c>
    </row>
    <row r="290" spans="1:16" ht="15" customHeight="1" x14ac:dyDescent="0.25">
      <c r="A290" s="2" t="s">
        <v>574</v>
      </c>
      <c r="B290" s="3">
        <v>45355</v>
      </c>
      <c r="C290" s="2" t="s">
        <v>199</v>
      </c>
      <c r="D290" s="2" t="s">
        <v>200</v>
      </c>
      <c r="E290" s="2" t="s">
        <v>19</v>
      </c>
      <c r="F290" s="2" t="s">
        <v>36</v>
      </c>
      <c r="G290" s="2" t="s">
        <v>30</v>
      </c>
      <c r="H290" s="2" t="s">
        <v>31</v>
      </c>
      <c r="I290" s="2" t="s">
        <v>23</v>
      </c>
      <c r="J290" s="4">
        <v>10</v>
      </c>
      <c r="K290" s="5">
        <v>3447.04</v>
      </c>
      <c r="L290" s="6">
        <v>0</v>
      </c>
      <c r="M290" s="5">
        <v>34470.400000000001</v>
      </c>
      <c r="N290" s="5">
        <v>7210.79</v>
      </c>
      <c r="O290" s="5">
        <v>92.34</v>
      </c>
      <c r="P290" s="2" t="s">
        <v>73</v>
      </c>
    </row>
    <row r="291" spans="1:16" ht="15" customHeight="1" x14ac:dyDescent="0.25">
      <c r="A291" s="2" t="s">
        <v>575</v>
      </c>
      <c r="B291" s="3">
        <v>45419</v>
      </c>
      <c r="C291" s="2" t="s">
        <v>34</v>
      </c>
      <c r="D291" s="2" t="s">
        <v>35</v>
      </c>
      <c r="E291" s="2" t="s">
        <v>28</v>
      </c>
      <c r="F291" s="2" t="s">
        <v>36</v>
      </c>
      <c r="G291" s="2" t="s">
        <v>183</v>
      </c>
      <c r="H291" s="2" t="s">
        <v>184</v>
      </c>
      <c r="I291" s="2" t="s">
        <v>46</v>
      </c>
      <c r="J291" s="4">
        <v>9</v>
      </c>
      <c r="K291" s="5">
        <v>500.75</v>
      </c>
      <c r="L291" s="6">
        <v>0.15</v>
      </c>
      <c r="M291" s="5">
        <v>3830.74</v>
      </c>
      <c r="N291" s="5">
        <v>667.46</v>
      </c>
      <c r="O291" s="5">
        <v>199.16</v>
      </c>
      <c r="P291" s="2" t="s">
        <v>24</v>
      </c>
    </row>
    <row r="292" spans="1:16" ht="15" customHeight="1" x14ac:dyDescent="0.25">
      <c r="A292" s="2" t="s">
        <v>576</v>
      </c>
      <c r="B292" s="3">
        <v>45602</v>
      </c>
      <c r="C292" s="2" t="s">
        <v>226</v>
      </c>
      <c r="D292" s="2" t="s">
        <v>227</v>
      </c>
      <c r="E292" s="2" t="s">
        <v>113</v>
      </c>
      <c r="F292" s="2" t="s">
        <v>56</v>
      </c>
      <c r="G292" s="2" t="s">
        <v>433</v>
      </c>
      <c r="H292" s="2" t="s">
        <v>434</v>
      </c>
      <c r="I292" s="2" t="s">
        <v>59</v>
      </c>
      <c r="J292" s="4">
        <v>9</v>
      </c>
      <c r="K292" s="5">
        <v>2671.44</v>
      </c>
      <c r="L292" s="6">
        <v>0.05</v>
      </c>
      <c r="M292" s="5">
        <v>22840.81</v>
      </c>
      <c r="N292" s="5">
        <v>7840.76</v>
      </c>
      <c r="O292" s="5">
        <v>32.549999999999997</v>
      </c>
      <c r="P292" s="2" t="s">
        <v>73</v>
      </c>
    </row>
    <row r="293" spans="1:16" ht="15" customHeight="1" x14ac:dyDescent="0.25">
      <c r="A293" s="2" t="s">
        <v>577</v>
      </c>
      <c r="B293" s="3">
        <v>45415</v>
      </c>
      <c r="C293" s="2" t="s">
        <v>278</v>
      </c>
      <c r="D293" s="2" t="s">
        <v>279</v>
      </c>
      <c r="E293" s="2" t="s">
        <v>19</v>
      </c>
      <c r="F293" s="2" t="s">
        <v>29</v>
      </c>
      <c r="G293" s="2" t="s">
        <v>193</v>
      </c>
      <c r="H293" s="2" t="s">
        <v>194</v>
      </c>
      <c r="I293" s="2" t="s">
        <v>52</v>
      </c>
      <c r="J293" s="4">
        <v>8</v>
      </c>
      <c r="K293" s="5">
        <v>1703.78</v>
      </c>
      <c r="L293" s="6">
        <v>0</v>
      </c>
      <c r="M293" s="5">
        <v>13630.24</v>
      </c>
      <c r="N293" s="5">
        <v>4333.4399999999996</v>
      </c>
      <c r="O293" s="5">
        <v>244.87</v>
      </c>
      <c r="P293" s="2" t="s">
        <v>40</v>
      </c>
    </row>
    <row r="294" spans="1:16" ht="15" customHeight="1" x14ac:dyDescent="0.25">
      <c r="A294" s="2" t="s">
        <v>578</v>
      </c>
      <c r="B294" s="3">
        <v>45583</v>
      </c>
      <c r="C294" s="2" t="s">
        <v>367</v>
      </c>
      <c r="D294" s="2" t="s">
        <v>368</v>
      </c>
      <c r="E294" s="2" t="s">
        <v>28</v>
      </c>
      <c r="F294" s="2" t="s">
        <v>29</v>
      </c>
      <c r="G294" s="2" t="s">
        <v>466</v>
      </c>
      <c r="H294" s="2" t="s">
        <v>467</v>
      </c>
      <c r="I294" s="2" t="s">
        <v>59</v>
      </c>
      <c r="J294" s="4">
        <v>7</v>
      </c>
      <c r="K294" s="5">
        <v>4050.22</v>
      </c>
      <c r="L294" s="6">
        <v>0.15</v>
      </c>
      <c r="M294" s="5">
        <v>24098.81</v>
      </c>
      <c r="N294" s="5">
        <v>7280.89</v>
      </c>
      <c r="O294" s="5">
        <v>128.33000000000001</v>
      </c>
      <c r="P294" s="2" t="s">
        <v>24</v>
      </c>
    </row>
    <row r="295" spans="1:16" ht="15" customHeight="1" x14ac:dyDescent="0.25">
      <c r="A295" s="2" t="s">
        <v>579</v>
      </c>
      <c r="B295" s="3">
        <v>45299</v>
      </c>
      <c r="C295" s="2" t="s">
        <v>509</v>
      </c>
      <c r="D295" s="2" t="s">
        <v>404</v>
      </c>
      <c r="E295" s="2" t="s">
        <v>19</v>
      </c>
      <c r="F295" s="2" t="s">
        <v>107</v>
      </c>
      <c r="G295" s="2" t="s">
        <v>385</v>
      </c>
      <c r="H295" s="2" t="s">
        <v>386</v>
      </c>
      <c r="I295" s="2" t="s">
        <v>39</v>
      </c>
      <c r="J295" s="4">
        <v>5</v>
      </c>
      <c r="K295" s="5">
        <v>1392.42</v>
      </c>
      <c r="L295" s="6">
        <v>0</v>
      </c>
      <c r="M295" s="5">
        <v>6962.1</v>
      </c>
      <c r="N295" s="5">
        <v>1481.74</v>
      </c>
      <c r="O295" s="5">
        <v>111.53</v>
      </c>
      <c r="P295" s="2" t="s">
        <v>40</v>
      </c>
    </row>
    <row r="296" spans="1:16" ht="15" customHeight="1" x14ac:dyDescent="0.25">
      <c r="A296" s="2" t="s">
        <v>580</v>
      </c>
      <c r="B296" s="3">
        <v>45651</v>
      </c>
      <c r="C296" s="2" t="s">
        <v>111</v>
      </c>
      <c r="D296" s="2" t="s">
        <v>112</v>
      </c>
      <c r="E296" s="2" t="s">
        <v>113</v>
      </c>
      <c r="F296" s="2" t="s">
        <v>36</v>
      </c>
      <c r="G296" s="2" t="s">
        <v>153</v>
      </c>
      <c r="H296" s="2" t="s">
        <v>154</v>
      </c>
      <c r="I296" s="2" t="s">
        <v>52</v>
      </c>
      <c r="J296" s="4">
        <v>7</v>
      </c>
      <c r="K296" s="5">
        <v>481.34</v>
      </c>
      <c r="L296" s="6">
        <v>0.1</v>
      </c>
      <c r="M296" s="5">
        <v>3032.44</v>
      </c>
      <c r="N296" s="5">
        <v>726.39</v>
      </c>
      <c r="O296" s="5">
        <v>55.12</v>
      </c>
      <c r="P296" s="2" t="s">
        <v>24</v>
      </c>
    </row>
    <row r="297" spans="1:16" ht="15" customHeight="1" x14ac:dyDescent="0.25">
      <c r="A297" s="2" t="s">
        <v>581</v>
      </c>
      <c r="B297" s="3">
        <v>45396</v>
      </c>
      <c r="C297" s="2" t="s">
        <v>348</v>
      </c>
      <c r="D297" s="2" t="s">
        <v>349</v>
      </c>
      <c r="E297" s="2" t="s">
        <v>28</v>
      </c>
      <c r="F297" s="2" t="s">
        <v>20</v>
      </c>
      <c r="G297" s="2" t="s">
        <v>228</v>
      </c>
      <c r="H297" s="2" t="s">
        <v>229</v>
      </c>
      <c r="I297" s="2" t="s">
        <v>23</v>
      </c>
      <c r="J297" s="4">
        <v>3</v>
      </c>
      <c r="K297" s="5">
        <v>2691.92</v>
      </c>
      <c r="L297" s="6">
        <v>0.05</v>
      </c>
      <c r="M297" s="5">
        <v>7671.97</v>
      </c>
      <c r="N297" s="5">
        <v>2046.32</v>
      </c>
      <c r="O297" s="5">
        <v>195.54</v>
      </c>
      <c r="P297" s="2" t="s">
        <v>24</v>
      </c>
    </row>
    <row r="298" spans="1:16" ht="15" customHeight="1" x14ac:dyDescent="0.25">
      <c r="A298" s="2" t="s">
        <v>582</v>
      </c>
      <c r="B298" s="3">
        <v>45321</v>
      </c>
      <c r="C298" s="2" t="s">
        <v>348</v>
      </c>
      <c r="D298" s="2" t="s">
        <v>349</v>
      </c>
      <c r="E298" s="2" t="s">
        <v>28</v>
      </c>
      <c r="F298" s="2" t="s">
        <v>20</v>
      </c>
      <c r="G298" s="2" t="s">
        <v>149</v>
      </c>
      <c r="H298" s="2" t="s">
        <v>150</v>
      </c>
      <c r="I298" s="2" t="s">
        <v>52</v>
      </c>
      <c r="J298" s="4">
        <v>4</v>
      </c>
      <c r="K298" s="5">
        <v>489.67</v>
      </c>
      <c r="L298" s="6">
        <v>0.05</v>
      </c>
      <c r="M298" s="5">
        <v>1860.75</v>
      </c>
      <c r="N298" s="5">
        <v>726.68</v>
      </c>
      <c r="O298" s="5">
        <v>160.83000000000001</v>
      </c>
      <c r="P298" s="2" t="s">
        <v>24</v>
      </c>
    </row>
    <row r="299" spans="1:16" ht="15" customHeight="1" x14ac:dyDescent="0.25">
      <c r="A299" s="2" t="s">
        <v>583</v>
      </c>
      <c r="B299" s="3">
        <v>45298</v>
      </c>
      <c r="C299" s="2" t="s">
        <v>348</v>
      </c>
      <c r="D299" s="2" t="s">
        <v>349</v>
      </c>
      <c r="E299" s="2" t="s">
        <v>28</v>
      </c>
      <c r="F299" s="2" t="s">
        <v>20</v>
      </c>
      <c r="G299" s="2" t="s">
        <v>205</v>
      </c>
      <c r="H299" s="2" t="s">
        <v>206</v>
      </c>
      <c r="I299" s="2" t="s">
        <v>59</v>
      </c>
      <c r="J299" s="4">
        <v>12</v>
      </c>
      <c r="K299" s="5">
        <v>2270.25</v>
      </c>
      <c r="L299" s="6">
        <v>0</v>
      </c>
      <c r="M299" s="5">
        <v>27243</v>
      </c>
      <c r="N299" s="5">
        <v>11143.53</v>
      </c>
      <c r="O299" s="5">
        <v>239.19</v>
      </c>
      <c r="P299" s="2" t="s">
        <v>32</v>
      </c>
    </row>
    <row r="300" spans="1:16" ht="15" customHeight="1" x14ac:dyDescent="0.25">
      <c r="A300" s="2" t="s">
        <v>584</v>
      </c>
      <c r="B300" s="3">
        <v>45482</v>
      </c>
      <c r="C300" s="2" t="s">
        <v>147</v>
      </c>
      <c r="D300" s="2" t="s">
        <v>148</v>
      </c>
      <c r="E300" s="2" t="s">
        <v>19</v>
      </c>
      <c r="F300" s="2" t="s">
        <v>36</v>
      </c>
      <c r="G300" s="2" t="s">
        <v>90</v>
      </c>
      <c r="H300" s="2" t="s">
        <v>91</v>
      </c>
      <c r="I300" s="2" t="s">
        <v>46</v>
      </c>
      <c r="J300" s="4">
        <v>3</v>
      </c>
      <c r="K300" s="5">
        <v>612.33000000000004</v>
      </c>
      <c r="L300" s="6">
        <v>0.2</v>
      </c>
      <c r="M300" s="5">
        <v>1469.59</v>
      </c>
      <c r="N300" s="5">
        <v>335.82</v>
      </c>
      <c r="O300" s="5">
        <v>223.88</v>
      </c>
      <c r="P300" s="2" t="s">
        <v>24</v>
      </c>
    </row>
    <row r="301" spans="1:16" ht="15" customHeight="1" x14ac:dyDescent="0.25">
      <c r="A301" s="2" t="s">
        <v>585</v>
      </c>
      <c r="B301" s="3">
        <v>45560</v>
      </c>
      <c r="C301" s="2" t="s">
        <v>381</v>
      </c>
      <c r="D301" s="2" t="s">
        <v>382</v>
      </c>
      <c r="E301" s="2" t="s">
        <v>19</v>
      </c>
      <c r="F301" s="2" t="s">
        <v>20</v>
      </c>
      <c r="G301" s="2" t="s">
        <v>172</v>
      </c>
      <c r="H301" s="2" t="s">
        <v>173</v>
      </c>
      <c r="I301" s="2" t="s">
        <v>52</v>
      </c>
      <c r="J301" s="4">
        <v>2</v>
      </c>
      <c r="K301" s="5">
        <v>878.49</v>
      </c>
      <c r="L301" s="6">
        <v>0.1</v>
      </c>
      <c r="M301" s="5">
        <v>1581.28</v>
      </c>
      <c r="N301" s="5">
        <v>339.3</v>
      </c>
      <c r="O301" s="5">
        <v>134.11000000000001</v>
      </c>
      <c r="P301" s="2" t="s">
        <v>32</v>
      </c>
    </row>
    <row r="302" spans="1:16" ht="15" customHeight="1" x14ac:dyDescent="0.25">
      <c r="A302" s="2" t="s">
        <v>586</v>
      </c>
      <c r="B302" s="3">
        <v>45582</v>
      </c>
      <c r="C302" s="2" t="s">
        <v>264</v>
      </c>
      <c r="D302" s="2" t="s">
        <v>265</v>
      </c>
      <c r="E302" s="2" t="s">
        <v>19</v>
      </c>
      <c r="F302" s="2" t="s">
        <v>29</v>
      </c>
      <c r="G302" s="2" t="s">
        <v>290</v>
      </c>
      <c r="H302" s="2" t="s">
        <v>291</v>
      </c>
      <c r="I302" s="2" t="s">
        <v>23</v>
      </c>
      <c r="J302" s="4">
        <v>3</v>
      </c>
      <c r="K302" s="5">
        <v>2033.98</v>
      </c>
      <c r="L302" s="6">
        <v>0</v>
      </c>
      <c r="M302" s="5">
        <v>6101.94</v>
      </c>
      <c r="N302" s="5">
        <v>1566.17</v>
      </c>
      <c r="O302" s="5">
        <v>225.68</v>
      </c>
      <c r="P302" s="2" t="s">
        <v>24</v>
      </c>
    </row>
    <row r="303" spans="1:16" ht="15" customHeight="1" x14ac:dyDescent="0.25">
      <c r="A303" s="2" t="s">
        <v>587</v>
      </c>
      <c r="B303" s="3">
        <v>45314</v>
      </c>
      <c r="C303" s="2" t="s">
        <v>218</v>
      </c>
      <c r="D303" s="2" t="s">
        <v>219</v>
      </c>
      <c r="E303" s="2" t="s">
        <v>28</v>
      </c>
      <c r="F303" s="2" t="s">
        <v>107</v>
      </c>
      <c r="G303" s="2" t="s">
        <v>190</v>
      </c>
      <c r="H303" s="2" t="s">
        <v>191</v>
      </c>
      <c r="I303" s="2" t="s">
        <v>39</v>
      </c>
      <c r="J303" s="4">
        <v>1</v>
      </c>
      <c r="K303" s="5">
        <v>1524.94</v>
      </c>
      <c r="L303" s="6">
        <v>0.05</v>
      </c>
      <c r="M303" s="5">
        <v>1448.69</v>
      </c>
      <c r="N303" s="5">
        <v>471.21</v>
      </c>
      <c r="O303" s="5">
        <v>231.65</v>
      </c>
      <c r="P303" s="2" t="s">
        <v>73</v>
      </c>
    </row>
    <row r="304" spans="1:16" ht="15" customHeight="1" x14ac:dyDescent="0.25">
      <c r="A304" s="2" t="s">
        <v>588</v>
      </c>
      <c r="B304" s="3">
        <v>45406</v>
      </c>
      <c r="C304" s="2" t="s">
        <v>315</v>
      </c>
      <c r="D304" s="2" t="s">
        <v>316</v>
      </c>
      <c r="E304" s="2" t="s">
        <v>28</v>
      </c>
      <c r="F304" s="2" t="s">
        <v>107</v>
      </c>
      <c r="G304" s="2" t="s">
        <v>96</v>
      </c>
      <c r="H304" s="2" t="s">
        <v>97</v>
      </c>
      <c r="I304" s="2" t="s">
        <v>39</v>
      </c>
      <c r="J304" s="4">
        <v>6</v>
      </c>
      <c r="K304" s="5">
        <v>1542.01</v>
      </c>
      <c r="L304" s="6">
        <v>0.15</v>
      </c>
      <c r="M304" s="5">
        <v>7864.25</v>
      </c>
      <c r="N304" s="5">
        <v>2035.6</v>
      </c>
      <c r="O304" s="5">
        <v>209.98</v>
      </c>
      <c r="P304" s="2" t="s">
        <v>32</v>
      </c>
    </row>
    <row r="305" spans="1:16" ht="15" customHeight="1" x14ac:dyDescent="0.25">
      <c r="A305" s="2" t="s">
        <v>589</v>
      </c>
      <c r="B305" s="3">
        <v>45636</v>
      </c>
      <c r="C305" s="2" t="s">
        <v>378</v>
      </c>
      <c r="D305" s="2" t="s">
        <v>379</v>
      </c>
      <c r="E305" s="2" t="s">
        <v>19</v>
      </c>
      <c r="F305" s="2" t="s">
        <v>29</v>
      </c>
      <c r="G305" s="2" t="s">
        <v>228</v>
      </c>
      <c r="H305" s="2" t="s">
        <v>229</v>
      </c>
      <c r="I305" s="2" t="s">
        <v>23</v>
      </c>
      <c r="J305" s="4">
        <v>1</v>
      </c>
      <c r="K305" s="5">
        <v>1299.44</v>
      </c>
      <c r="L305" s="6">
        <v>0.2</v>
      </c>
      <c r="M305" s="5">
        <v>1039.55</v>
      </c>
      <c r="N305" s="5">
        <v>157.30000000000001</v>
      </c>
      <c r="O305" s="5">
        <v>30.56</v>
      </c>
      <c r="P305" s="2" t="s">
        <v>88</v>
      </c>
    </row>
    <row r="306" spans="1:16" ht="15" customHeight="1" x14ac:dyDescent="0.25">
      <c r="A306" s="2" t="s">
        <v>590</v>
      </c>
      <c r="B306" s="3">
        <v>45451</v>
      </c>
      <c r="C306" s="2" t="s">
        <v>54</v>
      </c>
      <c r="D306" s="2" t="s">
        <v>55</v>
      </c>
      <c r="E306" s="2" t="s">
        <v>19</v>
      </c>
      <c r="F306" s="2" t="s">
        <v>56</v>
      </c>
      <c r="G306" s="2" t="s">
        <v>172</v>
      </c>
      <c r="H306" s="2" t="s">
        <v>173</v>
      </c>
      <c r="I306" s="2" t="s">
        <v>52</v>
      </c>
      <c r="J306" s="4">
        <v>6</v>
      </c>
      <c r="K306" s="5">
        <v>490.05</v>
      </c>
      <c r="L306" s="6">
        <v>0.05</v>
      </c>
      <c r="M306" s="5">
        <v>2793.28</v>
      </c>
      <c r="N306" s="5">
        <v>1170.26</v>
      </c>
      <c r="O306" s="5">
        <v>66.150000000000006</v>
      </c>
      <c r="P306" s="2" t="s">
        <v>32</v>
      </c>
    </row>
    <row r="307" spans="1:16" ht="15" customHeight="1" x14ac:dyDescent="0.25">
      <c r="A307" s="2" t="s">
        <v>591</v>
      </c>
      <c r="B307" s="3">
        <v>45529</v>
      </c>
      <c r="C307" s="2" t="s">
        <v>226</v>
      </c>
      <c r="D307" s="2" t="s">
        <v>227</v>
      </c>
      <c r="E307" s="2" t="s">
        <v>113</v>
      </c>
      <c r="F307" s="2" t="s">
        <v>56</v>
      </c>
      <c r="G307" s="2" t="s">
        <v>133</v>
      </c>
      <c r="H307" s="2" t="s">
        <v>134</v>
      </c>
      <c r="I307" s="2" t="s">
        <v>39</v>
      </c>
      <c r="J307" s="4">
        <v>6</v>
      </c>
      <c r="K307" s="5">
        <v>3121.78</v>
      </c>
      <c r="L307" s="6">
        <v>0.05</v>
      </c>
      <c r="M307" s="5">
        <v>17794.150000000001</v>
      </c>
      <c r="N307" s="5">
        <v>2819.97</v>
      </c>
      <c r="O307" s="5">
        <v>198.45</v>
      </c>
      <c r="P307" s="2" t="s">
        <v>32</v>
      </c>
    </row>
    <row r="308" spans="1:16" ht="15" customHeight="1" x14ac:dyDescent="0.25">
      <c r="A308" s="2" t="s">
        <v>592</v>
      </c>
      <c r="B308" s="3">
        <v>45501</v>
      </c>
      <c r="C308" s="2" t="s">
        <v>34</v>
      </c>
      <c r="D308" s="2" t="s">
        <v>35</v>
      </c>
      <c r="E308" s="2" t="s">
        <v>28</v>
      </c>
      <c r="F308" s="2" t="s">
        <v>36</v>
      </c>
      <c r="G308" s="2" t="s">
        <v>471</v>
      </c>
      <c r="H308" s="2" t="s">
        <v>472</v>
      </c>
      <c r="I308" s="2" t="s">
        <v>59</v>
      </c>
      <c r="J308" s="4">
        <v>1</v>
      </c>
      <c r="K308" s="5">
        <v>3017.38</v>
      </c>
      <c r="L308" s="6">
        <v>0</v>
      </c>
      <c r="M308" s="5">
        <v>3017.38</v>
      </c>
      <c r="N308" s="5">
        <v>878.1</v>
      </c>
      <c r="O308" s="5">
        <v>179.5</v>
      </c>
      <c r="P308" s="2" t="s">
        <v>24</v>
      </c>
    </row>
    <row r="309" spans="1:16" ht="15" customHeight="1" x14ac:dyDescent="0.25">
      <c r="A309" s="2" t="s">
        <v>593</v>
      </c>
      <c r="B309" s="3">
        <v>45449</v>
      </c>
      <c r="C309" s="2" t="s">
        <v>381</v>
      </c>
      <c r="D309" s="2" t="s">
        <v>382</v>
      </c>
      <c r="E309" s="2" t="s">
        <v>19</v>
      </c>
      <c r="F309" s="2" t="s">
        <v>20</v>
      </c>
      <c r="G309" s="2" t="s">
        <v>261</v>
      </c>
      <c r="H309" s="2" t="s">
        <v>262</v>
      </c>
      <c r="I309" s="2" t="s">
        <v>23</v>
      </c>
      <c r="J309" s="4">
        <v>2</v>
      </c>
      <c r="K309" s="5">
        <v>1400.26</v>
      </c>
      <c r="L309" s="6">
        <v>0</v>
      </c>
      <c r="M309" s="5">
        <v>2800.52</v>
      </c>
      <c r="N309" s="5">
        <v>966.31</v>
      </c>
      <c r="O309" s="5">
        <v>241.07</v>
      </c>
      <c r="P309" s="2" t="s">
        <v>73</v>
      </c>
    </row>
    <row r="310" spans="1:16" ht="15" customHeight="1" x14ac:dyDescent="0.25">
      <c r="A310" s="2" t="s">
        <v>594</v>
      </c>
      <c r="B310" s="3">
        <v>45410</v>
      </c>
      <c r="C310" s="2" t="s">
        <v>170</v>
      </c>
      <c r="D310" s="2" t="s">
        <v>171</v>
      </c>
      <c r="E310" s="2" t="s">
        <v>28</v>
      </c>
      <c r="F310" s="2" t="s">
        <v>20</v>
      </c>
      <c r="G310" s="2" t="s">
        <v>175</v>
      </c>
      <c r="H310" s="2" t="s">
        <v>176</v>
      </c>
      <c r="I310" s="2" t="s">
        <v>23</v>
      </c>
      <c r="J310" s="4">
        <v>9</v>
      </c>
      <c r="K310" s="5">
        <v>2210.92</v>
      </c>
      <c r="L310" s="6">
        <v>0</v>
      </c>
      <c r="M310" s="5">
        <v>19898.28</v>
      </c>
      <c r="N310" s="5">
        <v>6673.59</v>
      </c>
      <c r="O310" s="5">
        <v>192.02</v>
      </c>
      <c r="P310" s="2" t="s">
        <v>32</v>
      </c>
    </row>
    <row r="311" spans="1:16" ht="15" customHeight="1" x14ac:dyDescent="0.25">
      <c r="A311" s="2" t="s">
        <v>595</v>
      </c>
      <c r="B311" s="3">
        <v>45618</v>
      </c>
      <c r="C311" s="2" t="s">
        <v>288</v>
      </c>
      <c r="D311" s="2" t="s">
        <v>289</v>
      </c>
      <c r="E311" s="2" t="s">
        <v>113</v>
      </c>
      <c r="F311" s="2" t="s">
        <v>29</v>
      </c>
      <c r="G311" s="2" t="s">
        <v>318</v>
      </c>
      <c r="H311" s="2" t="s">
        <v>319</v>
      </c>
      <c r="I311" s="2" t="s">
        <v>39</v>
      </c>
      <c r="J311" s="4">
        <v>7</v>
      </c>
      <c r="K311" s="5">
        <v>744.22</v>
      </c>
      <c r="L311" s="6">
        <v>0.1</v>
      </c>
      <c r="M311" s="5">
        <v>4688.59</v>
      </c>
      <c r="N311" s="5">
        <v>1742.23</v>
      </c>
      <c r="O311" s="5">
        <v>172.36</v>
      </c>
      <c r="P311" s="2" t="s">
        <v>73</v>
      </c>
    </row>
    <row r="312" spans="1:16" ht="15" customHeight="1" x14ac:dyDescent="0.25">
      <c r="A312" s="2" t="s">
        <v>596</v>
      </c>
      <c r="B312" s="3">
        <v>45453</v>
      </c>
      <c r="C312" s="2" t="s">
        <v>597</v>
      </c>
      <c r="D312" s="2" t="s">
        <v>598</v>
      </c>
      <c r="E312" s="2" t="s">
        <v>113</v>
      </c>
      <c r="F312" s="2" t="s">
        <v>20</v>
      </c>
      <c r="G312" s="2" t="s">
        <v>66</v>
      </c>
      <c r="H312" s="2" t="s">
        <v>67</v>
      </c>
      <c r="I312" s="2" t="s">
        <v>46</v>
      </c>
      <c r="J312" s="4">
        <v>7</v>
      </c>
      <c r="K312" s="5">
        <v>575.54</v>
      </c>
      <c r="L312" s="6">
        <v>0.15</v>
      </c>
      <c r="M312" s="5">
        <v>3424.46</v>
      </c>
      <c r="N312" s="5">
        <v>880.03</v>
      </c>
      <c r="O312" s="5">
        <v>124.13</v>
      </c>
      <c r="P312" s="2" t="s">
        <v>73</v>
      </c>
    </row>
    <row r="313" spans="1:16" ht="15" customHeight="1" x14ac:dyDescent="0.25">
      <c r="A313" s="2" t="s">
        <v>599</v>
      </c>
      <c r="B313" s="3">
        <v>45591</v>
      </c>
      <c r="C313" s="2" t="s">
        <v>338</v>
      </c>
      <c r="D313" s="2" t="s">
        <v>339</v>
      </c>
      <c r="E313" s="2" t="s">
        <v>19</v>
      </c>
      <c r="F313" s="2" t="s">
        <v>29</v>
      </c>
      <c r="G313" s="2" t="s">
        <v>86</v>
      </c>
      <c r="H313" s="2" t="s">
        <v>87</v>
      </c>
      <c r="I313" s="2" t="s">
        <v>59</v>
      </c>
      <c r="J313" s="4">
        <v>2</v>
      </c>
      <c r="K313" s="5">
        <v>2412.1999999999998</v>
      </c>
      <c r="L313" s="6">
        <v>0</v>
      </c>
      <c r="M313" s="5">
        <v>4824.3999999999996</v>
      </c>
      <c r="N313" s="5">
        <v>1628.76</v>
      </c>
      <c r="O313" s="5">
        <v>92.23</v>
      </c>
      <c r="P313" s="2" t="s">
        <v>24</v>
      </c>
    </row>
    <row r="314" spans="1:16" ht="15" customHeight="1" x14ac:dyDescent="0.25">
      <c r="A314" s="2" t="s">
        <v>600</v>
      </c>
      <c r="B314" s="3">
        <v>45523</v>
      </c>
      <c r="C314" s="2" t="s">
        <v>161</v>
      </c>
      <c r="D314" s="2" t="s">
        <v>162</v>
      </c>
      <c r="E314" s="2" t="s">
        <v>28</v>
      </c>
      <c r="F314" s="2" t="s">
        <v>36</v>
      </c>
      <c r="G314" s="2" t="s">
        <v>44</v>
      </c>
      <c r="H314" s="2" t="s">
        <v>45</v>
      </c>
      <c r="I314" s="2" t="s">
        <v>46</v>
      </c>
      <c r="J314" s="4">
        <v>5</v>
      </c>
      <c r="K314" s="5">
        <v>397.51</v>
      </c>
      <c r="L314" s="6">
        <v>0.2</v>
      </c>
      <c r="M314" s="5">
        <v>1590.04</v>
      </c>
      <c r="N314" s="5">
        <v>437.3</v>
      </c>
      <c r="O314" s="5">
        <v>56.25</v>
      </c>
      <c r="P314" s="2" t="s">
        <v>40</v>
      </c>
    </row>
    <row r="315" spans="1:16" ht="15" customHeight="1" x14ac:dyDescent="0.25">
      <c r="A315" s="2" t="s">
        <v>601</v>
      </c>
      <c r="B315" s="3">
        <v>45459</v>
      </c>
      <c r="C315" s="2" t="s">
        <v>118</v>
      </c>
      <c r="D315" s="2" t="s">
        <v>119</v>
      </c>
      <c r="E315" s="2" t="s">
        <v>28</v>
      </c>
      <c r="F315" s="2" t="s">
        <v>107</v>
      </c>
      <c r="G315" s="2" t="s">
        <v>220</v>
      </c>
      <c r="H315" s="2" t="s">
        <v>221</v>
      </c>
      <c r="I315" s="2" t="s">
        <v>23</v>
      </c>
      <c r="J315" s="4">
        <v>3</v>
      </c>
      <c r="K315" s="5">
        <v>955.73</v>
      </c>
      <c r="L315" s="6">
        <v>0</v>
      </c>
      <c r="M315" s="5">
        <v>2867.19</v>
      </c>
      <c r="N315" s="5">
        <v>596.09</v>
      </c>
      <c r="O315" s="5">
        <v>111.14</v>
      </c>
      <c r="P315" s="2" t="s">
        <v>24</v>
      </c>
    </row>
    <row r="316" spans="1:16" ht="15" customHeight="1" x14ac:dyDescent="0.25">
      <c r="A316" s="2" t="s">
        <v>602</v>
      </c>
      <c r="B316" s="3">
        <v>45307</v>
      </c>
      <c r="C316" s="2" t="s">
        <v>226</v>
      </c>
      <c r="D316" s="2" t="s">
        <v>227</v>
      </c>
      <c r="E316" s="2" t="s">
        <v>113</v>
      </c>
      <c r="F316" s="2" t="s">
        <v>56</v>
      </c>
      <c r="G316" s="2" t="s">
        <v>90</v>
      </c>
      <c r="H316" s="2" t="s">
        <v>91</v>
      </c>
      <c r="I316" s="2" t="s">
        <v>46</v>
      </c>
      <c r="J316" s="4">
        <v>7</v>
      </c>
      <c r="K316" s="5">
        <v>690.95</v>
      </c>
      <c r="L316" s="6">
        <v>0.1</v>
      </c>
      <c r="M316" s="5">
        <v>4352.99</v>
      </c>
      <c r="N316" s="5">
        <v>788.28</v>
      </c>
      <c r="O316" s="5">
        <v>77.47</v>
      </c>
      <c r="P316" s="2" t="s">
        <v>88</v>
      </c>
    </row>
    <row r="317" spans="1:16" ht="15" customHeight="1" x14ac:dyDescent="0.25">
      <c r="A317" s="2" t="s">
        <v>603</v>
      </c>
      <c r="B317" s="3">
        <v>45298</v>
      </c>
      <c r="C317" s="2" t="s">
        <v>538</v>
      </c>
      <c r="D317" s="2" t="s">
        <v>539</v>
      </c>
      <c r="E317" s="2" t="s">
        <v>28</v>
      </c>
      <c r="F317" s="2" t="s">
        <v>107</v>
      </c>
      <c r="G317" s="2" t="s">
        <v>205</v>
      </c>
      <c r="H317" s="2" t="s">
        <v>206</v>
      </c>
      <c r="I317" s="2" t="s">
        <v>59</v>
      </c>
      <c r="J317" s="4">
        <v>1</v>
      </c>
      <c r="K317" s="5">
        <v>7676.9</v>
      </c>
      <c r="L317" s="6">
        <v>0</v>
      </c>
      <c r="M317" s="5">
        <v>7676.9</v>
      </c>
      <c r="N317" s="5">
        <v>3203.73</v>
      </c>
      <c r="O317" s="5">
        <v>209.44</v>
      </c>
      <c r="P317" s="2" t="s">
        <v>40</v>
      </c>
    </row>
    <row r="318" spans="1:16" ht="15" customHeight="1" x14ac:dyDescent="0.25">
      <c r="A318" s="2" t="s">
        <v>604</v>
      </c>
      <c r="B318" s="3">
        <v>45424</v>
      </c>
      <c r="C318" s="2" t="s">
        <v>123</v>
      </c>
      <c r="D318" s="2" t="s">
        <v>124</v>
      </c>
      <c r="E318" s="2" t="s">
        <v>113</v>
      </c>
      <c r="F318" s="2" t="s">
        <v>20</v>
      </c>
      <c r="G318" s="2" t="s">
        <v>37</v>
      </c>
      <c r="H318" s="2" t="s">
        <v>38</v>
      </c>
      <c r="I318" s="2" t="s">
        <v>39</v>
      </c>
      <c r="J318" s="4">
        <v>2</v>
      </c>
      <c r="K318" s="5">
        <v>500.28</v>
      </c>
      <c r="L318" s="6">
        <v>0</v>
      </c>
      <c r="M318" s="5">
        <v>1000.56</v>
      </c>
      <c r="N318" s="5">
        <v>400.79</v>
      </c>
      <c r="O318" s="5">
        <v>168.58</v>
      </c>
      <c r="P318" s="2" t="s">
        <v>73</v>
      </c>
    </row>
    <row r="319" spans="1:16" ht="15" customHeight="1" x14ac:dyDescent="0.25">
      <c r="A319" s="2" t="s">
        <v>605</v>
      </c>
      <c r="B319" s="3">
        <v>45313</v>
      </c>
      <c r="C319" s="2" t="s">
        <v>199</v>
      </c>
      <c r="D319" s="2" t="s">
        <v>200</v>
      </c>
      <c r="E319" s="2" t="s">
        <v>19</v>
      </c>
      <c r="F319" s="2" t="s">
        <v>36</v>
      </c>
      <c r="G319" s="2" t="s">
        <v>183</v>
      </c>
      <c r="H319" s="2" t="s">
        <v>184</v>
      </c>
      <c r="I319" s="2" t="s">
        <v>46</v>
      </c>
      <c r="J319" s="4">
        <v>8</v>
      </c>
      <c r="K319" s="5">
        <v>87.98</v>
      </c>
      <c r="L319" s="6">
        <v>0.1</v>
      </c>
      <c r="M319" s="5">
        <v>633.46</v>
      </c>
      <c r="N319" s="5">
        <v>170.13</v>
      </c>
      <c r="O319" s="5">
        <v>186.62</v>
      </c>
      <c r="P319" s="2" t="s">
        <v>88</v>
      </c>
    </row>
    <row r="320" spans="1:16" ht="15" customHeight="1" x14ac:dyDescent="0.25">
      <c r="A320" s="2" t="s">
        <v>606</v>
      </c>
      <c r="B320" s="3">
        <v>45380</v>
      </c>
      <c r="C320" s="2" t="s">
        <v>397</v>
      </c>
      <c r="D320" s="2" t="s">
        <v>398</v>
      </c>
      <c r="E320" s="2" t="s">
        <v>19</v>
      </c>
      <c r="F320" s="2" t="s">
        <v>29</v>
      </c>
      <c r="G320" s="2" t="s">
        <v>153</v>
      </c>
      <c r="H320" s="2" t="s">
        <v>154</v>
      </c>
      <c r="I320" s="2" t="s">
        <v>52</v>
      </c>
      <c r="J320" s="4">
        <v>6</v>
      </c>
      <c r="K320" s="5">
        <v>772.38</v>
      </c>
      <c r="L320" s="6">
        <v>0</v>
      </c>
      <c r="M320" s="5">
        <v>4634.28</v>
      </c>
      <c r="N320" s="5">
        <v>1766.84</v>
      </c>
      <c r="O320" s="5">
        <v>122.58</v>
      </c>
      <c r="P320" s="2" t="s">
        <v>73</v>
      </c>
    </row>
    <row r="321" spans="1:16" ht="15" customHeight="1" x14ac:dyDescent="0.25">
      <c r="A321" s="2" t="s">
        <v>607</v>
      </c>
      <c r="B321" s="3">
        <v>45607</v>
      </c>
      <c r="C321" s="2" t="s">
        <v>315</v>
      </c>
      <c r="D321" s="2" t="s">
        <v>316</v>
      </c>
      <c r="E321" s="2" t="s">
        <v>28</v>
      </c>
      <c r="F321" s="2" t="s">
        <v>107</v>
      </c>
      <c r="G321" s="2" t="s">
        <v>37</v>
      </c>
      <c r="H321" s="2" t="s">
        <v>38</v>
      </c>
      <c r="I321" s="2" t="s">
        <v>39</v>
      </c>
      <c r="J321" s="4">
        <v>4</v>
      </c>
      <c r="K321" s="5">
        <v>3377.48</v>
      </c>
      <c r="L321" s="6">
        <v>0.05</v>
      </c>
      <c r="M321" s="5">
        <v>12834.42</v>
      </c>
      <c r="N321" s="5">
        <v>4012.47</v>
      </c>
      <c r="O321" s="5">
        <v>146.66</v>
      </c>
      <c r="P321" s="2" t="s">
        <v>24</v>
      </c>
    </row>
    <row r="322" spans="1:16" ht="15" customHeight="1" x14ac:dyDescent="0.25">
      <c r="A322" s="2" t="s">
        <v>608</v>
      </c>
      <c r="B322" s="3">
        <v>45362</v>
      </c>
      <c r="C322" s="2" t="s">
        <v>199</v>
      </c>
      <c r="D322" s="2" t="s">
        <v>200</v>
      </c>
      <c r="E322" s="2" t="s">
        <v>19</v>
      </c>
      <c r="F322" s="2" t="s">
        <v>36</v>
      </c>
      <c r="G322" s="2" t="s">
        <v>108</v>
      </c>
      <c r="H322" s="2" t="s">
        <v>109</v>
      </c>
      <c r="I322" s="2" t="s">
        <v>46</v>
      </c>
      <c r="J322" s="4">
        <v>7</v>
      </c>
      <c r="K322" s="5">
        <v>199.59</v>
      </c>
      <c r="L322" s="6">
        <v>0.2</v>
      </c>
      <c r="M322" s="5">
        <v>1117.7</v>
      </c>
      <c r="N322" s="5">
        <v>165.62</v>
      </c>
      <c r="O322" s="5">
        <v>165.07</v>
      </c>
      <c r="P322" s="2" t="s">
        <v>32</v>
      </c>
    </row>
    <row r="323" spans="1:16" ht="15" customHeight="1" x14ac:dyDescent="0.25">
      <c r="A323" s="2" t="s">
        <v>609</v>
      </c>
      <c r="B323" s="3">
        <v>45537</v>
      </c>
      <c r="C323" s="2" t="s">
        <v>509</v>
      </c>
      <c r="D323" s="2" t="s">
        <v>404</v>
      </c>
      <c r="E323" s="2" t="s">
        <v>19</v>
      </c>
      <c r="F323" s="2" t="s">
        <v>107</v>
      </c>
      <c r="G323" s="2" t="s">
        <v>309</v>
      </c>
      <c r="H323" s="2" t="s">
        <v>310</v>
      </c>
      <c r="I323" s="2" t="s">
        <v>52</v>
      </c>
      <c r="J323" s="4">
        <v>9</v>
      </c>
      <c r="K323" s="5">
        <v>2019.16</v>
      </c>
      <c r="L323" s="6">
        <v>0</v>
      </c>
      <c r="M323" s="5">
        <v>18172.439999999999</v>
      </c>
      <c r="N323" s="5">
        <v>4031.21</v>
      </c>
      <c r="O323" s="5">
        <v>135.55000000000001</v>
      </c>
      <c r="P323" s="2" t="s">
        <v>88</v>
      </c>
    </row>
    <row r="324" spans="1:16" ht="15" customHeight="1" x14ac:dyDescent="0.25">
      <c r="A324" s="2" t="s">
        <v>610</v>
      </c>
      <c r="B324" s="3">
        <v>45455</v>
      </c>
      <c r="C324" s="2" t="s">
        <v>253</v>
      </c>
      <c r="D324" s="2" t="s">
        <v>254</v>
      </c>
      <c r="E324" s="2" t="s">
        <v>113</v>
      </c>
      <c r="F324" s="2" t="s">
        <v>36</v>
      </c>
      <c r="G324" s="2" t="s">
        <v>471</v>
      </c>
      <c r="H324" s="2" t="s">
        <v>472</v>
      </c>
      <c r="I324" s="2" t="s">
        <v>59</v>
      </c>
      <c r="J324" s="4">
        <v>10</v>
      </c>
      <c r="K324" s="5">
        <v>2908.36</v>
      </c>
      <c r="L324" s="6">
        <v>0.2</v>
      </c>
      <c r="M324" s="5">
        <v>23266.880000000001</v>
      </c>
      <c r="N324" s="5">
        <v>1610.23</v>
      </c>
      <c r="O324" s="5">
        <v>33.479999999999997</v>
      </c>
      <c r="P324" s="2" t="s">
        <v>88</v>
      </c>
    </row>
    <row r="325" spans="1:16" ht="15" customHeight="1" x14ac:dyDescent="0.25">
      <c r="A325" s="2" t="s">
        <v>611</v>
      </c>
      <c r="B325" s="3">
        <v>45411</v>
      </c>
      <c r="C325" s="2" t="s">
        <v>430</v>
      </c>
      <c r="D325" s="2" t="s">
        <v>431</v>
      </c>
      <c r="E325" s="2" t="s">
        <v>19</v>
      </c>
      <c r="F325" s="2" t="s">
        <v>56</v>
      </c>
      <c r="G325" s="2" t="s">
        <v>196</v>
      </c>
      <c r="H325" s="2" t="s">
        <v>197</v>
      </c>
      <c r="I325" s="2" t="s">
        <v>46</v>
      </c>
      <c r="J325" s="4">
        <v>3</v>
      </c>
      <c r="K325" s="5">
        <v>125.1</v>
      </c>
      <c r="L325" s="6">
        <v>0.15</v>
      </c>
      <c r="M325" s="5">
        <v>319</v>
      </c>
      <c r="N325" s="5">
        <v>89.96</v>
      </c>
      <c r="O325" s="5">
        <v>142.75</v>
      </c>
      <c r="P325" s="2" t="s">
        <v>24</v>
      </c>
    </row>
    <row r="326" spans="1:16" ht="15" customHeight="1" x14ac:dyDescent="0.25">
      <c r="A326" s="2" t="s">
        <v>612</v>
      </c>
      <c r="B326" s="3">
        <v>45473</v>
      </c>
      <c r="C326" s="2" t="s">
        <v>128</v>
      </c>
      <c r="D326" s="2" t="s">
        <v>129</v>
      </c>
      <c r="E326" s="2" t="s">
        <v>28</v>
      </c>
      <c r="F326" s="2" t="s">
        <v>107</v>
      </c>
      <c r="G326" s="2" t="s">
        <v>96</v>
      </c>
      <c r="H326" s="2" t="s">
        <v>97</v>
      </c>
      <c r="I326" s="2" t="s">
        <v>39</v>
      </c>
      <c r="J326" s="4">
        <v>3</v>
      </c>
      <c r="K326" s="5">
        <v>1210.06</v>
      </c>
      <c r="L326" s="6">
        <v>0.1</v>
      </c>
      <c r="M326" s="5">
        <v>3267.16</v>
      </c>
      <c r="N326" s="5">
        <v>981.96</v>
      </c>
      <c r="O326" s="5">
        <v>189.76</v>
      </c>
      <c r="P326" s="2" t="s">
        <v>40</v>
      </c>
    </row>
    <row r="327" spans="1:16" ht="15" customHeight="1" x14ac:dyDescent="0.25">
      <c r="A327" s="2" t="s">
        <v>613</v>
      </c>
      <c r="B327" s="3">
        <v>45582</v>
      </c>
      <c r="C327" s="2" t="s">
        <v>330</v>
      </c>
      <c r="D327" s="2" t="s">
        <v>248</v>
      </c>
      <c r="E327" s="2" t="s">
        <v>19</v>
      </c>
      <c r="F327" s="2" t="s">
        <v>36</v>
      </c>
      <c r="G327" s="2" t="s">
        <v>21</v>
      </c>
      <c r="H327" s="2" t="s">
        <v>22</v>
      </c>
      <c r="I327" s="2" t="s">
        <v>23</v>
      </c>
      <c r="J327" s="4">
        <v>10</v>
      </c>
      <c r="K327" s="5">
        <v>1154.2</v>
      </c>
      <c r="L327" s="6">
        <v>0</v>
      </c>
      <c r="M327" s="5">
        <v>11542</v>
      </c>
      <c r="N327" s="5">
        <v>2779.61</v>
      </c>
      <c r="O327" s="5">
        <v>206.39</v>
      </c>
      <c r="P327" s="2" t="s">
        <v>88</v>
      </c>
    </row>
    <row r="328" spans="1:16" ht="15" customHeight="1" x14ac:dyDescent="0.25">
      <c r="A328" s="2" t="s">
        <v>614</v>
      </c>
      <c r="B328" s="3">
        <v>45543</v>
      </c>
      <c r="C328" s="2" t="s">
        <v>17</v>
      </c>
      <c r="D328" s="2" t="s">
        <v>18</v>
      </c>
      <c r="E328" s="2" t="s">
        <v>19</v>
      </c>
      <c r="F328" s="2" t="s">
        <v>20</v>
      </c>
      <c r="G328" s="2" t="s">
        <v>90</v>
      </c>
      <c r="H328" s="2" t="s">
        <v>91</v>
      </c>
      <c r="I328" s="2" t="s">
        <v>46</v>
      </c>
      <c r="J328" s="4">
        <v>1</v>
      </c>
      <c r="K328" s="5">
        <v>117.69</v>
      </c>
      <c r="L328" s="6">
        <v>0</v>
      </c>
      <c r="M328" s="5">
        <v>117.69</v>
      </c>
      <c r="N328" s="5">
        <v>35.26</v>
      </c>
      <c r="O328" s="5">
        <v>24.58</v>
      </c>
      <c r="P328" s="2" t="s">
        <v>88</v>
      </c>
    </row>
    <row r="329" spans="1:16" ht="15" customHeight="1" x14ac:dyDescent="0.25">
      <c r="A329" s="2" t="s">
        <v>615</v>
      </c>
      <c r="B329" s="3">
        <v>45395</v>
      </c>
      <c r="C329" s="2" t="s">
        <v>475</v>
      </c>
      <c r="D329" s="2" t="s">
        <v>476</v>
      </c>
      <c r="E329" s="2" t="s">
        <v>19</v>
      </c>
      <c r="F329" s="2" t="s">
        <v>20</v>
      </c>
      <c r="G329" s="2" t="s">
        <v>196</v>
      </c>
      <c r="H329" s="2" t="s">
        <v>197</v>
      </c>
      <c r="I329" s="2" t="s">
        <v>46</v>
      </c>
      <c r="J329" s="4">
        <v>3</v>
      </c>
      <c r="K329" s="5">
        <v>305.57</v>
      </c>
      <c r="L329" s="6">
        <v>0</v>
      </c>
      <c r="M329" s="5">
        <v>916.71</v>
      </c>
      <c r="N329" s="5">
        <v>201.96</v>
      </c>
      <c r="O329" s="5">
        <v>214.19</v>
      </c>
      <c r="P329" s="2" t="s">
        <v>40</v>
      </c>
    </row>
    <row r="330" spans="1:16" ht="15" customHeight="1" x14ac:dyDescent="0.25">
      <c r="A330" s="2" t="s">
        <v>616</v>
      </c>
      <c r="B330" s="3">
        <v>45592</v>
      </c>
      <c r="C330" s="2" t="s">
        <v>493</v>
      </c>
      <c r="D330" s="2" t="s">
        <v>494</v>
      </c>
      <c r="E330" s="2" t="s">
        <v>19</v>
      </c>
      <c r="F330" s="2" t="s">
        <v>36</v>
      </c>
      <c r="G330" s="2" t="s">
        <v>30</v>
      </c>
      <c r="H330" s="2" t="s">
        <v>31</v>
      </c>
      <c r="I330" s="2" t="s">
        <v>23</v>
      </c>
      <c r="J330" s="4">
        <v>12</v>
      </c>
      <c r="K330" s="5">
        <v>4177.17</v>
      </c>
      <c r="L330" s="6">
        <v>0.2</v>
      </c>
      <c r="M330" s="5">
        <v>40100.83</v>
      </c>
      <c r="N330" s="5">
        <v>11141.51</v>
      </c>
      <c r="O330" s="5">
        <v>141.05000000000001</v>
      </c>
      <c r="P330" s="2" t="s">
        <v>40</v>
      </c>
    </row>
    <row r="331" spans="1:16" ht="15" customHeight="1" x14ac:dyDescent="0.25">
      <c r="A331" s="2" t="s">
        <v>617</v>
      </c>
      <c r="B331" s="3">
        <v>45592</v>
      </c>
      <c r="C331" s="2" t="s">
        <v>338</v>
      </c>
      <c r="D331" s="2" t="s">
        <v>339</v>
      </c>
      <c r="E331" s="2" t="s">
        <v>19</v>
      </c>
      <c r="F331" s="2" t="s">
        <v>29</v>
      </c>
      <c r="G331" s="2" t="s">
        <v>108</v>
      </c>
      <c r="H331" s="2" t="s">
        <v>109</v>
      </c>
      <c r="I331" s="2" t="s">
        <v>46</v>
      </c>
      <c r="J331" s="4">
        <v>2</v>
      </c>
      <c r="K331" s="5">
        <v>302.42</v>
      </c>
      <c r="L331" s="6">
        <v>0</v>
      </c>
      <c r="M331" s="5">
        <v>604.84</v>
      </c>
      <c r="N331" s="5">
        <v>251.55</v>
      </c>
      <c r="O331" s="5">
        <v>56.23</v>
      </c>
      <c r="P331" s="2" t="s">
        <v>88</v>
      </c>
    </row>
    <row r="332" spans="1:16" ht="15" customHeight="1" x14ac:dyDescent="0.25">
      <c r="A332" s="2" t="s">
        <v>618</v>
      </c>
      <c r="B332" s="3">
        <v>45654</v>
      </c>
      <c r="C332" s="2" t="s">
        <v>69</v>
      </c>
      <c r="D332" s="2" t="s">
        <v>70</v>
      </c>
      <c r="E332" s="2" t="s">
        <v>19</v>
      </c>
      <c r="F332" s="2" t="s">
        <v>36</v>
      </c>
      <c r="G332" s="2" t="s">
        <v>90</v>
      </c>
      <c r="H332" s="2" t="s">
        <v>91</v>
      </c>
      <c r="I332" s="2" t="s">
        <v>46</v>
      </c>
      <c r="J332" s="4">
        <v>9</v>
      </c>
      <c r="K332" s="5">
        <v>570.16999999999996</v>
      </c>
      <c r="L332" s="6">
        <v>0.1</v>
      </c>
      <c r="M332" s="5">
        <v>4618.38</v>
      </c>
      <c r="N332" s="5">
        <v>786.42</v>
      </c>
      <c r="O332" s="5">
        <v>71.34</v>
      </c>
      <c r="P332" s="2" t="s">
        <v>32</v>
      </c>
    </row>
    <row r="333" spans="1:16" ht="15" customHeight="1" x14ac:dyDescent="0.25">
      <c r="A333" s="2" t="s">
        <v>619</v>
      </c>
      <c r="B333" s="3">
        <v>45644</v>
      </c>
      <c r="C333" s="2" t="s">
        <v>115</v>
      </c>
      <c r="D333" s="2" t="s">
        <v>116</v>
      </c>
      <c r="E333" s="2" t="s">
        <v>28</v>
      </c>
      <c r="F333" s="2" t="s">
        <v>107</v>
      </c>
      <c r="G333" s="2" t="s">
        <v>172</v>
      </c>
      <c r="H333" s="2" t="s">
        <v>173</v>
      </c>
      <c r="I333" s="2" t="s">
        <v>52</v>
      </c>
      <c r="J333" s="4">
        <v>5</v>
      </c>
      <c r="K333" s="5">
        <v>580.16999999999996</v>
      </c>
      <c r="L333" s="6">
        <v>0.15</v>
      </c>
      <c r="M333" s="5">
        <v>2465.7199999999998</v>
      </c>
      <c r="N333" s="5">
        <v>868.95</v>
      </c>
      <c r="O333" s="5">
        <v>181.46</v>
      </c>
      <c r="P333" s="2" t="s">
        <v>32</v>
      </c>
    </row>
    <row r="334" spans="1:16" ht="15" customHeight="1" x14ac:dyDescent="0.25">
      <c r="A334" s="2" t="s">
        <v>620</v>
      </c>
      <c r="B334" s="3">
        <v>45385</v>
      </c>
      <c r="C334" s="2" t="s">
        <v>621</v>
      </c>
      <c r="D334" s="2" t="s">
        <v>622</v>
      </c>
      <c r="E334" s="2" t="s">
        <v>113</v>
      </c>
      <c r="F334" s="2" t="s">
        <v>107</v>
      </c>
      <c r="G334" s="2" t="s">
        <v>190</v>
      </c>
      <c r="H334" s="2" t="s">
        <v>191</v>
      </c>
      <c r="I334" s="2" t="s">
        <v>39</v>
      </c>
      <c r="J334" s="4">
        <v>10</v>
      </c>
      <c r="K334" s="5">
        <v>1863.8</v>
      </c>
      <c r="L334" s="6">
        <v>0.2</v>
      </c>
      <c r="M334" s="5">
        <v>14910.4</v>
      </c>
      <c r="N334" s="5">
        <v>151.29</v>
      </c>
      <c r="O334" s="5">
        <v>70.81</v>
      </c>
      <c r="P334" s="2" t="s">
        <v>32</v>
      </c>
    </row>
    <row r="335" spans="1:16" ht="15" customHeight="1" x14ac:dyDescent="0.25">
      <c r="A335" s="2" t="s">
        <v>623</v>
      </c>
      <c r="B335" s="3">
        <v>45461</v>
      </c>
      <c r="C335" s="2" t="s">
        <v>538</v>
      </c>
      <c r="D335" s="2" t="s">
        <v>539</v>
      </c>
      <c r="E335" s="2" t="s">
        <v>28</v>
      </c>
      <c r="F335" s="2" t="s">
        <v>107</v>
      </c>
      <c r="G335" s="2" t="s">
        <v>166</v>
      </c>
      <c r="H335" s="2" t="s">
        <v>167</v>
      </c>
      <c r="I335" s="2" t="s">
        <v>52</v>
      </c>
      <c r="J335" s="4">
        <v>12</v>
      </c>
      <c r="K335" s="5">
        <v>471.17</v>
      </c>
      <c r="L335" s="6">
        <v>0</v>
      </c>
      <c r="M335" s="5">
        <v>5654.04</v>
      </c>
      <c r="N335" s="5">
        <v>1155.71</v>
      </c>
      <c r="O335" s="5">
        <v>58.61</v>
      </c>
      <c r="P335" s="2" t="s">
        <v>24</v>
      </c>
    </row>
    <row r="336" spans="1:16" ht="15" customHeight="1" x14ac:dyDescent="0.25">
      <c r="A336" s="2" t="s">
        <v>624</v>
      </c>
      <c r="B336" s="3">
        <v>45427</v>
      </c>
      <c r="C336" s="2" t="s">
        <v>381</v>
      </c>
      <c r="D336" s="2" t="s">
        <v>382</v>
      </c>
      <c r="E336" s="2" t="s">
        <v>19</v>
      </c>
      <c r="F336" s="2" t="s">
        <v>20</v>
      </c>
      <c r="G336" s="2" t="s">
        <v>335</v>
      </c>
      <c r="H336" s="2" t="s">
        <v>336</v>
      </c>
      <c r="I336" s="2" t="s">
        <v>52</v>
      </c>
      <c r="J336" s="4">
        <v>4</v>
      </c>
      <c r="K336" s="5">
        <v>848.99</v>
      </c>
      <c r="L336" s="6">
        <v>0</v>
      </c>
      <c r="M336" s="5">
        <v>3395.96</v>
      </c>
      <c r="N336" s="5">
        <v>1230.6300000000001</v>
      </c>
      <c r="O336" s="5">
        <v>201.01</v>
      </c>
      <c r="P336" s="2" t="s">
        <v>24</v>
      </c>
    </row>
    <row r="337" spans="1:16" ht="15" customHeight="1" x14ac:dyDescent="0.25">
      <c r="A337" s="2" t="s">
        <v>625</v>
      </c>
      <c r="B337" s="3">
        <v>45506</v>
      </c>
      <c r="C337" s="2" t="s">
        <v>298</v>
      </c>
      <c r="D337" s="2" t="s">
        <v>299</v>
      </c>
      <c r="E337" s="2" t="s">
        <v>113</v>
      </c>
      <c r="F337" s="2" t="s">
        <v>107</v>
      </c>
      <c r="G337" s="2" t="s">
        <v>158</v>
      </c>
      <c r="H337" s="2" t="s">
        <v>159</v>
      </c>
      <c r="I337" s="2" t="s">
        <v>52</v>
      </c>
      <c r="J337" s="4">
        <v>3</v>
      </c>
      <c r="K337" s="5">
        <v>2246.0100000000002</v>
      </c>
      <c r="L337" s="6">
        <v>0.05</v>
      </c>
      <c r="M337" s="5">
        <v>6401.13</v>
      </c>
      <c r="N337" s="5">
        <v>1209.8599999999999</v>
      </c>
      <c r="O337" s="5">
        <v>100.78</v>
      </c>
      <c r="P337" s="2" t="s">
        <v>88</v>
      </c>
    </row>
    <row r="338" spans="1:16" ht="15" customHeight="1" x14ac:dyDescent="0.25">
      <c r="A338" s="2" t="s">
        <v>626</v>
      </c>
      <c r="B338" s="3">
        <v>45625</v>
      </c>
      <c r="C338" s="2" t="s">
        <v>288</v>
      </c>
      <c r="D338" s="2" t="s">
        <v>289</v>
      </c>
      <c r="E338" s="2" t="s">
        <v>113</v>
      </c>
      <c r="F338" s="2" t="s">
        <v>29</v>
      </c>
      <c r="G338" s="2" t="s">
        <v>50</v>
      </c>
      <c r="H338" s="2" t="s">
        <v>51</v>
      </c>
      <c r="I338" s="2" t="s">
        <v>52</v>
      </c>
      <c r="J338" s="4">
        <v>11</v>
      </c>
      <c r="K338" s="5">
        <v>796.28</v>
      </c>
      <c r="L338" s="6">
        <v>0.05</v>
      </c>
      <c r="M338" s="5">
        <v>8321.1299999999992</v>
      </c>
      <c r="N338" s="5">
        <v>3342.23</v>
      </c>
      <c r="O338" s="5">
        <v>214.53</v>
      </c>
      <c r="P338" s="2" t="s">
        <v>40</v>
      </c>
    </row>
    <row r="339" spans="1:16" ht="15" customHeight="1" x14ac:dyDescent="0.25">
      <c r="A339" s="2" t="s">
        <v>627</v>
      </c>
      <c r="B339" s="3">
        <v>45345</v>
      </c>
      <c r="C339" s="2" t="s">
        <v>509</v>
      </c>
      <c r="D339" s="2" t="s">
        <v>404</v>
      </c>
      <c r="E339" s="2" t="s">
        <v>19</v>
      </c>
      <c r="F339" s="2" t="s">
        <v>107</v>
      </c>
      <c r="G339" s="2" t="s">
        <v>66</v>
      </c>
      <c r="H339" s="2" t="s">
        <v>67</v>
      </c>
      <c r="I339" s="2" t="s">
        <v>46</v>
      </c>
      <c r="J339" s="4">
        <v>2</v>
      </c>
      <c r="K339" s="5">
        <v>306.36</v>
      </c>
      <c r="L339" s="6">
        <v>0.05</v>
      </c>
      <c r="M339" s="5">
        <v>582.08000000000004</v>
      </c>
      <c r="N339" s="5">
        <v>220.44</v>
      </c>
      <c r="O339" s="5">
        <v>37.25</v>
      </c>
      <c r="P339" s="2" t="s">
        <v>24</v>
      </c>
    </row>
    <row r="340" spans="1:16" ht="15" customHeight="1" x14ac:dyDescent="0.25">
      <c r="A340" s="2" t="s">
        <v>628</v>
      </c>
      <c r="B340" s="3">
        <v>45539</v>
      </c>
      <c r="C340" s="2" t="s">
        <v>519</v>
      </c>
      <c r="D340" s="2" t="s">
        <v>520</v>
      </c>
      <c r="E340" s="2" t="s">
        <v>28</v>
      </c>
      <c r="F340" s="2" t="s">
        <v>107</v>
      </c>
      <c r="G340" s="2" t="s">
        <v>37</v>
      </c>
      <c r="H340" s="2" t="s">
        <v>38</v>
      </c>
      <c r="I340" s="2" t="s">
        <v>39</v>
      </c>
      <c r="J340" s="4">
        <v>12</v>
      </c>
      <c r="K340" s="5">
        <v>542.57000000000005</v>
      </c>
      <c r="L340" s="6">
        <v>0.15</v>
      </c>
      <c r="M340" s="5">
        <v>5534.21</v>
      </c>
      <c r="N340" s="5">
        <v>1684.68</v>
      </c>
      <c r="O340" s="5">
        <v>224.64</v>
      </c>
      <c r="P340" s="2" t="s">
        <v>73</v>
      </c>
    </row>
    <row r="341" spans="1:16" ht="15" customHeight="1" x14ac:dyDescent="0.25">
      <c r="A341" s="2" t="s">
        <v>629</v>
      </c>
      <c r="B341" s="3">
        <v>45397</v>
      </c>
      <c r="C341" s="2" t="s">
        <v>298</v>
      </c>
      <c r="D341" s="2" t="s">
        <v>299</v>
      </c>
      <c r="E341" s="2" t="s">
        <v>113</v>
      </c>
      <c r="F341" s="2" t="s">
        <v>107</v>
      </c>
      <c r="G341" s="2" t="s">
        <v>21</v>
      </c>
      <c r="H341" s="2" t="s">
        <v>22</v>
      </c>
      <c r="I341" s="2" t="s">
        <v>23</v>
      </c>
      <c r="J341" s="4">
        <v>4</v>
      </c>
      <c r="K341" s="5">
        <v>2196.19</v>
      </c>
      <c r="L341" s="6">
        <v>0.1</v>
      </c>
      <c r="M341" s="5">
        <v>7906.28</v>
      </c>
      <c r="N341" s="5">
        <v>1488.93</v>
      </c>
      <c r="O341" s="5">
        <v>187.89</v>
      </c>
      <c r="P341" s="2" t="s">
        <v>40</v>
      </c>
    </row>
    <row r="342" spans="1:16" ht="15" customHeight="1" x14ac:dyDescent="0.25">
      <c r="A342" s="2" t="s">
        <v>630</v>
      </c>
      <c r="B342" s="3">
        <v>45341</v>
      </c>
      <c r="C342" s="2" t="s">
        <v>411</v>
      </c>
      <c r="D342" s="2" t="s">
        <v>412</v>
      </c>
      <c r="E342" s="2" t="s">
        <v>28</v>
      </c>
      <c r="F342" s="2" t="s">
        <v>29</v>
      </c>
      <c r="G342" s="2" t="s">
        <v>44</v>
      </c>
      <c r="H342" s="2" t="s">
        <v>45</v>
      </c>
      <c r="I342" s="2" t="s">
        <v>46</v>
      </c>
      <c r="J342" s="4">
        <v>1</v>
      </c>
      <c r="K342" s="5">
        <v>344.68</v>
      </c>
      <c r="L342" s="6">
        <v>0.1</v>
      </c>
      <c r="M342" s="5">
        <v>310.20999999999998</v>
      </c>
      <c r="N342" s="5">
        <v>48.27</v>
      </c>
      <c r="O342" s="5">
        <v>55.33</v>
      </c>
      <c r="P342" s="2" t="s">
        <v>40</v>
      </c>
    </row>
    <row r="343" spans="1:16" ht="15" customHeight="1" x14ac:dyDescent="0.25">
      <c r="A343" s="2" t="s">
        <v>631</v>
      </c>
      <c r="B343" s="3">
        <v>45442</v>
      </c>
      <c r="C343" s="2" t="s">
        <v>475</v>
      </c>
      <c r="D343" s="2" t="s">
        <v>476</v>
      </c>
      <c r="E343" s="2" t="s">
        <v>19</v>
      </c>
      <c r="F343" s="2" t="s">
        <v>20</v>
      </c>
      <c r="G343" s="2" t="s">
        <v>193</v>
      </c>
      <c r="H343" s="2" t="s">
        <v>194</v>
      </c>
      <c r="I343" s="2" t="s">
        <v>52</v>
      </c>
      <c r="J343" s="4">
        <v>11</v>
      </c>
      <c r="K343" s="5">
        <v>1675.2</v>
      </c>
      <c r="L343" s="6">
        <v>0.05</v>
      </c>
      <c r="M343" s="5">
        <v>17505.84</v>
      </c>
      <c r="N343" s="5">
        <v>6451.02</v>
      </c>
      <c r="O343" s="5">
        <v>25.92</v>
      </c>
      <c r="P343" s="2" t="s">
        <v>73</v>
      </c>
    </row>
    <row r="344" spans="1:16" ht="15" customHeight="1" x14ac:dyDescent="0.25">
      <c r="A344" s="2" t="s">
        <v>632</v>
      </c>
      <c r="B344" s="3">
        <v>45351</v>
      </c>
      <c r="C344" s="2" t="s">
        <v>403</v>
      </c>
      <c r="D344" s="2" t="s">
        <v>404</v>
      </c>
      <c r="E344" s="2" t="s">
        <v>113</v>
      </c>
      <c r="F344" s="2" t="s">
        <v>20</v>
      </c>
      <c r="G344" s="2" t="s">
        <v>290</v>
      </c>
      <c r="H344" s="2" t="s">
        <v>291</v>
      </c>
      <c r="I344" s="2" t="s">
        <v>23</v>
      </c>
      <c r="J344" s="4">
        <v>5</v>
      </c>
      <c r="K344" s="5">
        <v>3661.02</v>
      </c>
      <c r="L344" s="6">
        <v>0.05</v>
      </c>
      <c r="M344" s="5">
        <v>17389.84</v>
      </c>
      <c r="N344" s="5">
        <v>5083.79</v>
      </c>
      <c r="O344" s="5">
        <v>172.04</v>
      </c>
      <c r="P344" s="2" t="s">
        <v>24</v>
      </c>
    </row>
    <row r="345" spans="1:16" ht="15" customHeight="1" x14ac:dyDescent="0.25">
      <c r="A345" s="2" t="s">
        <v>633</v>
      </c>
      <c r="B345" s="3">
        <v>45481</v>
      </c>
      <c r="C345" s="2" t="s">
        <v>17</v>
      </c>
      <c r="D345" s="2" t="s">
        <v>18</v>
      </c>
      <c r="E345" s="2" t="s">
        <v>19</v>
      </c>
      <c r="F345" s="2" t="s">
        <v>20</v>
      </c>
      <c r="G345" s="2" t="s">
        <v>166</v>
      </c>
      <c r="H345" s="2" t="s">
        <v>167</v>
      </c>
      <c r="I345" s="2" t="s">
        <v>52</v>
      </c>
      <c r="J345" s="4">
        <v>7</v>
      </c>
      <c r="K345" s="5">
        <v>1112.68</v>
      </c>
      <c r="L345" s="6">
        <v>0.05</v>
      </c>
      <c r="M345" s="5">
        <v>7399.32</v>
      </c>
      <c r="N345" s="5">
        <v>3028.62</v>
      </c>
      <c r="O345" s="5">
        <v>121.14</v>
      </c>
      <c r="P345" s="2" t="s">
        <v>40</v>
      </c>
    </row>
    <row r="346" spans="1:16" ht="15" customHeight="1" x14ac:dyDescent="0.25">
      <c r="A346" s="2" t="s">
        <v>634</v>
      </c>
      <c r="B346" s="3">
        <v>45323</v>
      </c>
      <c r="C346" s="2" t="s">
        <v>128</v>
      </c>
      <c r="D346" s="2" t="s">
        <v>129</v>
      </c>
      <c r="E346" s="2" t="s">
        <v>28</v>
      </c>
      <c r="F346" s="2" t="s">
        <v>107</v>
      </c>
      <c r="G346" s="2" t="s">
        <v>196</v>
      </c>
      <c r="H346" s="2" t="s">
        <v>197</v>
      </c>
      <c r="I346" s="2" t="s">
        <v>46</v>
      </c>
      <c r="J346" s="4">
        <v>3</v>
      </c>
      <c r="K346" s="5">
        <v>614.17999999999995</v>
      </c>
      <c r="L346" s="6">
        <v>0.15</v>
      </c>
      <c r="M346" s="5">
        <v>1566.16</v>
      </c>
      <c r="N346" s="5">
        <v>508.22</v>
      </c>
      <c r="O346" s="5">
        <v>173.67</v>
      </c>
      <c r="P346" s="2" t="s">
        <v>32</v>
      </c>
    </row>
    <row r="347" spans="1:16" ht="15" customHeight="1" x14ac:dyDescent="0.25">
      <c r="A347" s="2" t="s">
        <v>635</v>
      </c>
      <c r="B347" s="3">
        <v>45575</v>
      </c>
      <c r="C347" s="2" t="s">
        <v>258</v>
      </c>
      <c r="D347" s="2" t="s">
        <v>259</v>
      </c>
      <c r="E347" s="2" t="s">
        <v>28</v>
      </c>
      <c r="F347" s="2" t="s">
        <v>56</v>
      </c>
      <c r="G347" s="2" t="s">
        <v>133</v>
      </c>
      <c r="H347" s="2" t="s">
        <v>134</v>
      </c>
      <c r="I347" s="2" t="s">
        <v>39</v>
      </c>
      <c r="J347" s="4">
        <v>1</v>
      </c>
      <c r="K347" s="5">
        <v>4267.67</v>
      </c>
      <c r="L347" s="6">
        <v>0.2</v>
      </c>
      <c r="M347" s="5">
        <v>3414.14</v>
      </c>
      <c r="N347" s="5">
        <v>509.37</v>
      </c>
      <c r="O347" s="5">
        <v>242.09</v>
      </c>
      <c r="P347" s="2" t="s">
        <v>88</v>
      </c>
    </row>
    <row r="348" spans="1:16" ht="15" customHeight="1" x14ac:dyDescent="0.25">
      <c r="A348" s="2" t="s">
        <v>636</v>
      </c>
      <c r="B348" s="3">
        <v>45445</v>
      </c>
      <c r="C348" s="2" t="s">
        <v>156</v>
      </c>
      <c r="D348" s="2" t="s">
        <v>157</v>
      </c>
      <c r="E348" s="2" t="s">
        <v>19</v>
      </c>
      <c r="F348" s="2" t="s">
        <v>36</v>
      </c>
      <c r="G348" s="2" t="s">
        <v>77</v>
      </c>
      <c r="H348" s="2" t="s">
        <v>78</v>
      </c>
      <c r="I348" s="2" t="s">
        <v>59</v>
      </c>
      <c r="J348" s="4">
        <v>2</v>
      </c>
      <c r="K348" s="5">
        <v>4279.47</v>
      </c>
      <c r="L348" s="6">
        <v>0.2</v>
      </c>
      <c r="M348" s="5">
        <v>6847.15</v>
      </c>
      <c r="N348" s="5">
        <v>611.30999999999995</v>
      </c>
      <c r="O348" s="5">
        <v>135.47999999999999</v>
      </c>
      <c r="P348" s="2" t="s">
        <v>32</v>
      </c>
    </row>
    <row r="349" spans="1:16" ht="15" customHeight="1" x14ac:dyDescent="0.25">
      <c r="A349" s="2" t="s">
        <v>637</v>
      </c>
      <c r="B349" s="3">
        <v>45353</v>
      </c>
      <c r="C349" s="2" t="s">
        <v>156</v>
      </c>
      <c r="D349" s="2" t="s">
        <v>157</v>
      </c>
      <c r="E349" s="2" t="s">
        <v>19</v>
      </c>
      <c r="F349" s="2" t="s">
        <v>36</v>
      </c>
      <c r="G349" s="2" t="s">
        <v>318</v>
      </c>
      <c r="H349" s="2" t="s">
        <v>319</v>
      </c>
      <c r="I349" s="2" t="s">
        <v>39</v>
      </c>
      <c r="J349" s="4">
        <v>8</v>
      </c>
      <c r="K349" s="5">
        <v>1195.24</v>
      </c>
      <c r="L349" s="6">
        <v>0</v>
      </c>
      <c r="M349" s="5">
        <v>9561.92</v>
      </c>
      <c r="N349" s="5">
        <v>1978.92</v>
      </c>
      <c r="O349" s="5">
        <v>205.95</v>
      </c>
      <c r="P349" s="2" t="s">
        <v>73</v>
      </c>
    </row>
    <row r="350" spans="1:16" ht="15" customHeight="1" x14ac:dyDescent="0.25">
      <c r="A350" s="2" t="s">
        <v>638</v>
      </c>
      <c r="B350" s="3">
        <v>45641</v>
      </c>
      <c r="C350" s="2" t="s">
        <v>275</v>
      </c>
      <c r="D350" s="2" t="s">
        <v>276</v>
      </c>
      <c r="E350" s="2" t="s">
        <v>19</v>
      </c>
      <c r="F350" s="2" t="s">
        <v>107</v>
      </c>
      <c r="G350" s="2" t="s">
        <v>193</v>
      </c>
      <c r="H350" s="2" t="s">
        <v>194</v>
      </c>
      <c r="I350" s="2" t="s">
        <v>52</v>
      </c>
      <c r="J350" s="4">
        <v>7</v>
      </c>
      <c r="K350" s="5">
        <v>744.22</v>
      </c>
      <c r="L350" s="6">
        <v>0.2</v>
      </c>
      <c r="M350" s="5">
        <v>4167.63</v>
      </c>
      <c r="N350" s="5">
        <v>485.49</v>
      </c>
      <c r="O350" s="5">
        <v>211.84</v>
      </c>
      <c r="P350" s="2" t="s">
        <v>40</v>
      </c>
    </row>
    <row r="351" spans="1:16" ht="15" customHeight="1" x14ac:dyDescent="0.25">
      <c r="A351" s="2" t="s">
        <v>639</v>
      </c>
      <c r="B351" s="3">
        <v>45490</v>
      </c>
      <c r="C351" s="2" t="s">
        <v>367</v>
      </c>
      <c r="D351" s="2" t="s">
        <v>368</v>
      </c>
      <c r="E351" s="2" t="s">
        <v>28</v>
      </c>
      <c r="F351" s="2" t="s">
        <v>29</v>
      </c>
      <c r="G351" s="2" t="s">
        <v>210</v>
      </c>
      <c r="H351" s="2" t="s">
        <v>211</v>
      </c>
      <c r="I351" s="2" t="s">
        <v>23</v>
      </c>
      <c r="J351" s="4">
        <v>9</v>
      </c>
      <c r="K351" s="5">
        <v>2149.6799999999998</v>
      </c>
      <c r="L351" s="6">
        <v>0</v>
      </c>
      <c r="M351" s="5">
        <v>19347.12</v>
      </c>
      <c r="N351" s="5">
        <v>4562.8999999999996</v>
      </c>
      <c r="O351" s="5">
        <v>139.53</v>
      </c>
      <c r="P351" s="2" t="s">
        <v>24</v>
      </c>
    </row>
    <row r="352" spans="1:16" ht="15" customHeight="1" x14ac:dyDescent="0.25">
      <c r="A352" s="2" t="s">
        <v>640</v>
      </c>
      <c r="B352" s="3">
        <v>45506</v>
      </c>
      <c r="C352" s="2" t="s">
        <v>284</v>
      </c>
      <c r="D352" s="2" t="s">
        <v>285</v>
      </c>
      <c r="E352" s="2" t="s">
        <v>19</v>
      </c>
      <c r="F352" s="2" t="s">
        <v>107</v>
      </c>
      <c r="G352" s="2" t="s">
        <v>223</v>
      </c>
      <c r="H352" s="2" t="s">
        <v>224</v>
      </c>
      <c r="I352" s="2" t="s">
        <v>39</v>
      </c>
      <c r="J352" s="4">
        <v>2</v>
      </c>
      <c r="K352" s="5">
        <v>2306.44</v>
      </c>
      <c r="L352" s="6">
        <v>0</v>
      </c>
      <c r="M352" s="5">
        <v>4612.88</v>
      </c>
      <c r="N352" s="5">
        <v>1422.39</v>
      </c>
      <c r="O352" s="5">
        <v>154.02000000000001</v>
      </c>
      <c r="P352" s="2" t="s">
        <v>24</v>
      </c>
    </row>
    <row r="353" spans="1:16" ht="15" customHeight="1" x14ac:dyDescent="0.25">
      <c r="A353" s="2" t="s">
        <v>641</v>
      </c>
      <c r="B353" s="3">
        <v>45438</v>
      </c>
      <c r="C353" s="2" t="s">
        <v>538</v>
      </c>
      <c r="D353" s="2" t="s">
        <v>539</v>
      </c>
      <c r="E353" s="2" t="s">
        <v>28</v>
      </c>
      <c r="F353" s="2" t="s">
        <v>107</v>
      </c>
      <c r="G353" s="2" t="s">
        <v>385</v>
      </c>
      <c r="H353" s="2" t="s">
        <v>386</v>
      </c>
      <c r="I353" s="2" t="s">
        <v>39</v>
      </c>
      <c r="J353" s="4">
        <v>9</v>
      </c>
      <c r="K353" s="5">
        <v>4448.62</v>
      </c>
      <c r="L353" s="6">
        <v>0.05</v>
      </c>
      <c r="M353" s="5">
        <v>38035.699999999997</v>
      </c>
      <c r="N353" s="5">
        <v>13371.18</v>
      </c>
      <c r="O353" s="5">
        <v>170.6</v>
      </c>
      <c r="P353" s="2" t="s">
        <v>32</v>
      </c>
    </row>
    <row r="354" spans="1:16" ht="15" customHeight="1" x14ac:dyDescent="0.25">
      <c r="A354" s="2" t="s">
        <v>642</v>
      </c>
      <c r="B354" s="3">
        <v>45380</v>
      </c>
      <c r="C354" s="2" t="s">
        <v>118</v>
      </c>
      <c r="D354" s="2" t="s">
        <v>119</v>
      </c>
      <c r="E354" s="2" t="s">
        <v>28</v>
      </c>
      <c r="F354" s="2" t="s">
        <v>107</v>
      </c>
      <c r="G354" s="2" t="s">
        <v>335</v>
      </c>
      <c r="H354" s="2" t="s">
        <v>336</v>
      </c>
      <c r="I354" s="2" t="s">
        <v>52</v>
      </c>
      <c r="J354" s="4">
        <v>5</v>
      </c>
      <c r="K354" s="5">
        <v>1186.54</v>
      </c>
      <c r="L354" s="6">
        <v>0.1</v>
      </c>
      <c r="M354" s="5">
        <v>5339.43</v>
      </c>
      <c r="N354" s="5">
        <v>1173.7</v>
      </c>
      <c r="O354" s="5">
        <v>179.54</v>
      </c>
      <c r="P354" s="2" t="s">
        <v>24</v>
      </c>
    </row>
    <row r="355" spans="1:16" ht="15" customHeight="1" x14ac:dyDescent="0.25">
      <c r="A355" s="2" t="s">
        <v>643</v>
      </c>
      <c r="B355" s="3">
        <v>45317</v>
      </c>
      <c r="C355" s="2" t="s">
        <v>621</v>
      </c>
      <c r="D355" s="2" t="s">
        <v>622</v>
      </c>
      <c r="E355" s="2" t="s">
        <v>113</v>
      </c>
      <c r="F355" s="2" t="s">
        <v>107</v>
      </c>
      <c r="G355" s="2" t="s">
        <v>44</v>
      </c>
      <c r="H355" s="2" t="s">
        <v>45</v>
      </c>
      <c r="I355" s="2" t="s">
        <v>46</v>
      </c>
      <c r="J355" s="4">
        <v>12</v>
      </c>
      <c r="K355" s="5">
        <v>406.41</v>
      </c>
      <c r="L355" s="6">
        <v>0</v>
      </c>
      <c r="M355" s="5">
        <v>4876.92</v>
      </c>
      <c r="N355" s="5">
        <v>1100.93</v>
      </c>
      <c r="O355" s="5">
        <v>24.65</v>
      </c>
      <c r="P355" s="2" t="s">
        <v>40</v>
      </c>
    </row>
    <row r="356" spans="1:16" ht="15" customHeight="1" x14ac:dyDescent="0.25">
      <c r="A356" s="2" t="s">
        <v>644</v>
      </c>
      <c r="B356" s="3">
        <v>45648</v>
      </c>
      <c r="C356" s="2" t="s">
        <v>348</v>
      </c>
      <c r="D356" s="2" t="s">
        <v>349</v>
      </c>
      <c r="E356" s="2" t="s">
        <v>28</v>
      </c>
      <c r="F356" s="2" t="s">
        <v>20</v>
      </c>
      <c r="G356" s="2" t="s">
        <v>120</v>
      </c>
      <c r="H356" s="2" t="s">
        <v>121</v>
      </c>
      <c r="I356" s="2" t="s">
        <v>46</v>
      </c>
      <c r="J356" s="4">
        <v>11</v>
      </c>
      <c r="K356" s="5">
        <v>123.66</v>
      </c>
      <c r="L356" s="6">
        <v>0.2</v>
      </c>
      <c r="M356" s="5">
        <v>1088.21</v>
      </c>
      <c r="N356" s="5">
        <v>262.55</v>
      </c>
      <c r="O356" s="5">
        <v>89.11</v>
      </c>
      <c r="P356" s="2" t="s">
        <v>88</v>
      </c>
    </row>
    <row r="357" spans="1:16" ht="15" customHeight="1" x14ac:dyDescent="0.25">
      <c r="A357" s="2" t="s">
        <v>645</v>
      </c>
      <c r="B357" s="3">
        <v>45601</v>
      </c>
      <c r="C357" s="2" t="s">
        <v>250</v>
      </c>
      <c r="D357" s="2" t="s">
        <v>251</v>
      </c>
      <c r="E357" s="2" t="s">
        <v>28</v>
      </c>
      <c r="F357" s="2" t="s">
        <v>107</v>
      </c>
      <c r="G357" s="2" t="s">
        <v>108</v>
      </c>
      <c r="H357" s="2" t="s">
        <v>109</v>
      </c>
      <c r="I357" s="2" t="s">
        <v>46</v>
      </c>
      <c r="J357" s="4">
        <v>11</v>
      </c>
      <c r="K357" s="5">
        <v>116.97</v>
      </c>
      <c r="L357" s="6">
        <v>0.05</v>
      </c>
      <c r="M357" s="5">
        <v>1222.3399999999999</v>
      </c>
      <c r="N357" s="5">
        <v>446.67</v>
      </c>
      <c r="O357" s="5">
        <v>209.51</v>
      </c>
      <c r="P357" s="2" t="s">
        <v>88</v>
      </c>
    </row>
    <row r="358" spans="1:16" ht="15" customHeight="1" x14ac:dyDescent="0.25">
      <c r="A358" s="2" t="s">
        <v>646</v>
      </c>
      <c r="B358" s="3">
        <v>45555</v>
      </c>
      <c r="C358" s="2" t="s">
        <v>147</v>
      </c>
      <c r="D358" s="2" t="s">
        <v>148</v>
      </c>
      <c r="E358" s="2" t="s">
        <v>19</v>
      </c>
      <c r="F358" s="2" t="s">
        <v>36</v>
      </c>
      <c r="G358" s="2" t="s">
        <v>71</v>
      </c>
      <c r="H358" s="2" t="s">
        <v>72</v>
      </c>
      <c r="I358" s="2" t="s">
        <v>46</v>
      </c>
      <c r="J358" s="4">
        <v>3</v>
      </c>
      <c r="K358" s="5">
        <v>99.21</v>
      </c>
      <c r="L358" s="6">
        <v>0.15</v>
      </c>
      <c r="M358" s="5">
        <v>252.99</v>
      </c>
      <c r="N358" s="5">
        <v>51.58</v>
      </c>
      <c r="O358" s="5">
        <v>51.2</v>
      </c>
      <c r="P358" s="2" t="s">
        <v>32</v>
      </c>
    </row>
    <row r="359" spans="1:16" ht="15" customHeight="1" x14ac:dyDescent="0.25">
      <c r="A359" s="2" t="s">
        <v>647</v>
      </c>
      <c r="B359" s="3">
        <v>45390</v>
      </c>
      <c r="C359" s="2" t="s">
        <v>178</v>
      </c>
      <c r="D359" s="2" t="s">
        <v>179</v>
      </c>
      <c r="E359" s="2" t="s">
        <v>19</v>
      </c>
      <c r="F359" s="2" t="s">
        <v>29</v>
      </c>
      <c r="G359" s="2" t="s">
        <v>30</v>
      </c>
      <c r="H359" s="2" t="s">
        <v>31</v>
      </c>
      <c r="I359" s="2" t="s">
        <v>23</v>
      </c>
      <c r="J359" s="4">
        <v>4</v>
      </c>
      <c r="K359" s="5">
        <v>3864.21</v>
      </c>
      <c r="L359" s="6">
        <v>0</v>
      </c>
      <c r="M359" s="5">
        <v>15456.84</v>
      </c>
      <c r="N359" s="5">
        <v>6827.78</v>
      </c>
      <c r="O359" s="5">
        <v>31.63</v>
      </c>
      <c r="P359" s="2" t="s">
        <v>40</v>
      </c>
    </row>
    <row r="360" spans="1:16" ht="15" customHeight="1" x14ac:dyDescent="0.25">
      <c r="A360" s="2" t="s">
        <v>648</v>
      </c>
      <c r="B360" s="3">
        <v>45529</v>
      </c>
      <c r="C360" s="2" t="s">
        <v>105</v>
      </c>
      <c r="D360" s="2" t="s">
        <v>106</v>
      </c>
      <c r="E360" s="2" t="s">
        <v>19</v>
      </c>
      <c r="F360" s="2" t="s">
        <v>107</v>
      </c>
      <c r="G360" s="2" t="s">
        <v>350</v>
      </c>
      <c r="H360" s="2" t="s">
        <v>351</v>
      </c>
      <c r="I360" s="2" t="s">
        <v>46</v>
      </c>
      <c r="J360" s="4">
        <v>9</v>
      </c>
      <c r="K360" s="5">
        <v>347.71</v>
      </c>
      <c r="L360" s="6">
        <v>0</v>
      </c>
      <c r="M360" s="5">
        <v>3129.39</v>
      </c>
      <c r="N360" s="5">
        <v>875.31</v>
      </c>
      <c r="O360" s="5">
        <v>75.650000000000006</v>
      </c>
      <c r="P360" s="2" t="s">
        <v>88</v>
      </c>
    </row>
    <row r="361" spans="1:16" ht="15" customHeight="1" x14ac:dyDescent="0.25">
      <c r="A361" s="2" t="s">
        <v>649</v>
      </c>
      <c r="B361" s="3">
        <v>45534</v>
      </c>
      <c r="C361" s="2" t="s">
        <v>354</v>
      </c>
      <c r="D361" s="2" t="s">
        <v>355</v>
      </c>
      <c r="E361" s="2" t="s">
        <v>113</v>
      </c>
      <c r="F361" s="2" t="s">
        <v>36</v>
      </c>
      <c r="G361" s="2" t="s">
        <v>166</v>
      </c>
      <c r="H361" s="2" t="s">
        <v>167</v>
      </c>
      <c r="I361" s="2" t="s">
        <v>52</v>
      </c>
      <c r="J361" s="4">
        <v>10</v>
      </c>
      <c r="K361" s="5">
        <v>1512.93</v>
      </c>
      <c r="L361" s="6">
        <v>0</v>
      </c>
      <c r="M361" s="5">
        <v>15129.3</v>
      </c>
      <c r="N361" s="5">
        <v>6189.72</v>
      </c>
      <c r="O361" s="5">
        <v>225.73</v>
      </c>
      <c r="P361" s="2" t="s">
        <v>24</v>
      </c>
    </row>
    <row r="362" spans="1:16" ht="15" customHeight="1" x14ac:dyDescent="0.25">
      <c r="A362" s="2" t="s">
        <v>650</v>
      </c>
      <c r="B362" s="3">
        <v>45317</v>
      </c>
      <c r="C362" s="2" t="s">
        <v>411</v>
      </c>
      <c r="D362" s="2" t="s">
        <v>412</v>
      </c>
      <c r="E362" s="2" t="s">
        <v>28</v>
      </c>
      <c r="F362" s="2" t="s">
        <v>29</v>
      </c>
      <c r="G362" s="2" t="s">
        <v>261</v>
      </c>
      <c r="H362" s="2" t="s">
        <v>262</v>
      </c>
      <c r="I362" s="2" t="s">
        <v>23</v>
      </c>
      <c r="J362" s="4">
        <v>3</v>
      </c>
      <c r="K362" s="5">
        <v>3929.9</v>
      </c>
      <c r="L362" s="6">
        <v>0.2</v>
      </c>
      <c r="M362" s="5">
        <v>9431.76</v>
      </c>
      <c r="N362" s="5">
        <v>103.4</v>
      </c>
      <c r="O362" s="5">
        <v>217.14</v>
      </c>
      <c r="P362" s="2" t="s">
        <v>73</v>
      </c>
    </row>
    <row r="363" spans="1:16" ht="15" customHeight="1" x14ac:dyDescent="0.25">
      <c r="A363" s="2" t="s">
        <v>651</v>
      </c>
      <c r="B363" s="3">
        <v>45554</v>
      </c>
      <c r="C363" s="2" t="s">
        <v>42</v>
      </c>
      <c r="D363" s="2" t="s">
        <v>43</v>
      </c>
      <c r="E363" s="2" t="s">
        <v>19</v>
      </c>
      <c r="F363" s="2" t="s">
        <v>36</v>
      </c>
      <c r="G363" s="2" t="s">
        <v>108</v>
      </c>
      <c r="H363" s="2" t="s">
        <v>109</v>
      </c>
      <c r="I363" s="2" t="s">
        <v>46</v>
      </c>
      <c r="J363" s="4">
        <v>1</v>
      </c>
      <c r="K363" s="5">
        <v>698.47</v>
      </c>
      <c r="L363" s="6">
        <v>0.2</v>
      </c>
      <c r="M363" s="5">
        <v>558.78</v>
      </c>
      <c r="N363" s="5">
        <v>55.5</v>
      </c>
      <c r="O363" s="5">
        <v>129.04</v>
      </c>
      <c r="P363" s="2" t="s">
        <v>73</v>
      </c>
    </row>
    <row r="364" spans="1:16" ht="15" customHeight="1" x14ac:dyDescent="0.25">
      <c r="A364" s="2" t="s">
        <v>652</v>
      </c>
      <c r="B364" s="3">
        <v>45406</v>
      </c>
      <c r="C364" s="2" t="s">
        <v>115</v>
      </c>
      <c r="D364" s="2" t="s">
        <v>116</v>
      </c>
      <c r="E364" s="2" t="s">
        <v>28</v>
      </c>
      <c r="F364" s="2" t="s">
        <v>107</v>
      </c>
      <c r="G364" s="2" t="s">
        <v>190</v>
      </c>
      <c r="H364" s="2" t="s">
        <v>191</v>
      </c>
      <c r="I364" s="2" t="s">
        <v>39</v>
      </c>
      <c r="J364" s="4">
        <v>5</v>
      </c>
      <c r="K364" s="5">
        <v>3198.38</v>
      </c>
      <c r="L364" s="6">
        <v>0</v>
      </c>
      <c r="M364" s="5">
        <v>15991.9</v>
      </c>
      <c r="N364" s="5">
        <v>4346.84</v>
      </c>
      <c r="O364" s="5">
        <v>183.15</v>
      </c>
      <c r="P364" s="2" t="s">
        <v>40</v>
      </c>
    </row>
    <row r="365" spans="1:16" ht="15" customHeight="1" x14ac:dyDescent="0.25">
      <c r="A365" s="2" t="s">
        <v>653</v>
      </c>
      <c r="B365" s="3">
        <v>45527</v>
      </c>
      <c r="C365" s="2" t="s">
        <v>136</v>
      </c>
      <c r="D365" s="2" t="s">
        <v>137</v>
      </c>
      <c r="E365" s="2" t="s">
        <v>113</v>
      </c>
      <c r="F365" s="2" t="s">
        <v>29</v>
      </c>
      <c r="G365" s="2" t="s">
        <v>309</v>
      </c>
      <c r="H365" s="2" t="s">
        <v>310</v>
      </c>
      <c r="I365" s="2" t="s">
        <v>52</v>
      </c>
      <c r="J365" s="4">
        <v>5</v>
      </c>
      <c r="K365" s="5">
        <v>780.06</v>
      </c>
      <c r="L365" s="6">
        <v>0</v>
      </c>
      <c r="M365" s="5">
        <v>3900.3</v>
      </c>
      <c r="N365" s="5">
        <v>1094.82</v>
      </c>
      <c r="O365" s="5">
        <v>209.59</v>
      </c>
      <c r="P365" s="2" t="s">
        <v>88</v>
      </c>
    </row>
    <row r="366" spans="1:16" ht="15" customHeight="1" x14ac:dyDescent="0.25">
      <c r="A366" s="2" t="s">
        <v>654</v>
      </c>
      <c r="B366" s="3">
        <v>45553</v>
      </c>
      <c r="C366" s="2" t="s">
        <v>99</v>
      </c>
      <c r="D366" s="2" t="s">
        <v>100</v>
      </c>
      <c r="E366" s="2" t="s">
        <v>19</v>
      </c>
      <c r="F366" s="2" t="s">
        <v>36</v>
      </c>
      <c r="G366" s="2" t="s">
        <v>175</v>
      </c>
      <c r="H366" s="2" t="s">
        <v>176</v>
      </c>
      <c r="I366" s="2" t="s">
        <v>23</v>
      </c>
      <c r="J366" s="4">
        <v>11</v>
      </c>
      <c r="K366" s="5">
        <v>4369.29</v>
      </c>
      <c r="L366" s="6">
        <v>0.2</v>
      </c>
      <c r="M366" s="5">
        <v>38449.75</v>
      </c>
      <c r="N366" s="5">
        <v>7518.97</v>
      </c>
      <c r="O366" s="5">
        <v>168.89</v>
      </c>
      <c r="P366" s="2" t="s">
        <v>32</v>
      </c>
    </row>
    <row r="367" spans="1:16" ht="15" customHeight="1" x14ac:dyDescent="0.25">
      <c r="A367" s="2" t="s">
        <v>655</v>
      </c>
      <c r="B367" s="3">
        <v>45538</v>
      </c>
      <c r="C367" s="2" t="s">
        <v>411</v>
      </c>
      <c r="D367" s="2" t="s">
        <v>412</v>
      </c>
      <c r="E367" s="2" t="s">
        <v>28</v>
      </c>
      <c r="F367" s="2" t="s">
        <v>29</v>
      </c>
      <c r="G367" s="2" t="s">
        <v>183</v>
      </c>
      <c r="H367" s="2" t="s">
        <v>184</v>
      </c>
      <c r="I367" s="2" t="s">
        <v>46</v>
      </c>
      <c r="J367" s="4">
        <v>2</v>
      </c>
      <c r="K367" s="5">
        <v>302.20999999999998</v>
      </c>
      <c r="L367" s="6">
        <v>0</v>
      </c>
      <c r="M367" s="5">
        <v>604.41999999999996</v>
      </c>
      <c r="N367" s="5">
        <v>175.19</v>
      </c>
      <c r="O367" s="5">
        <v>218.14</v>
      </c>
      <c r="P367" s="2" t="s">
        <v>40</v>
      </c>
    </row>
    <row r="368" spans="1:16" ht="15" customHeight="1" x14ac:dyDescent="0.25">
      <c r="A368" s="2" t="s">
        <v>656</v>
      </c>
      <c r="B368" s="3">
        <v>45556</v>
      </c>
      <c r="C368" s="2" t="s">
        <v>226</v>
      </c>
      <c r="D368" s="2" t="s">
        <v>227</v>
      </c>
      <c r="E368" s="2" t="s">
        <v>113</v>
      </c>
      <c r="F368" s="2" t="s">
        <v>56</v>
      </c>
      <c r="G368" s="2" t="s">
        <v>86</v>
      </c>
      <c r="H368" s="2" t="s">
        <v>87</v>
      </c>
      <c r="I368" s="2" t="s">
        <v>59</v>
      </c>
      <c r="J368" s="4">
        <v>4</v>
      </c>
      <c r="K368" s="5">
        <v>8217.56</v>
      </c>
      <c r="L368" s="6">
        <v>0.2</v>
      </c>
      <c r="M368" s="5">
        <v>26296.19</v>
      </c>
      <c r="N368" s="5">
        <v>1172.52</v>
      </c>
      <c r="O368" s="5">
        <v>206.31</v>
      </c>
      <c r="P368" s="2" t="s">
        <v>88</v>
      </c>
    </row>
    <row r="369" spans="1:16" ht="15" customHeight="1" x14ac:dyDescent="0.25">
      <c r="A369" s="2" t="s">
        <v>657</v>
      </c>
      <c r="B369" s="3">
        <v>45627</v>
      </c>
      <c r="C369" s="2" t="s">
        <v>367</v>
      </c>
      <c r="D369" s="2" t="s">
        <v>368</v>
      </c>
      <c r="E369" s="2" t="s">
        <v>28</v>
      </c>
      <c r="F369" s="2" t="s">
        <v>29</v>
      </c>
      <c r="G369" s="2" t="s">
        <v>471</v>
      </c>
      <c r="H369" s="2" t="s">
        <v>472</v>
      </c>
      <c r="I369" s="2" t="s">
        <v>59</v>
      </c>
      <c r="J369" s="4">
        <v>8</v>
      </c>
      <c r="K369" s="5">
        <v>8980.26</v>
      </c>
      <c r="L369" s="6">
        <v>0</v>
      </c>
      <c r="M369" s="5">
        <v>71842.080000000002</v>
      </c>
      <c r="N369" s="5">
        <v>16040.33</v>
      </c>
      <c r="O369" s="5">
        <v>113.06</v>
      </c>
      <c r="P369" s="2" t="s">
        <v>24</v>
      </c>
    </row>
    <row r="370" spans="1:16" ht="15" customHeight="1" x14ac:dyDescent="0.25">
      <c r="A370" s="2" t="s">
        <v>658</v>
      </c>
      <c r="B370" s="3">
        <v>45467</v>
      </c>
      <c r="C370" s="2" t="s">
        <v>99</v>
      </c>
      <c r="D370" s="2" t="s">
        <v>100</v>
      </c>
      <c r="E370" s="2" t="s">
        <v>19</v>
      </c>
      <c r="F370" s="2" t="s">
        <v>36</v>
      </c>
      <c r="G370" s="2" t="s">
        <v>133</v>
      </c>
      <c r="H370" s="2" t="s">
        <v>134</v>
      </c>
      <c r="I370" s="2" t="s">
        <v>39</v>
      </c>
      <c r="J370" s="4">
        <v>12</v>
      </c>
      <c r="K370" s="5">
        <v>3681.5</v>
      </c>
      <c r="L370" s="6">
        <v>0.15</v>
      </c>
      <c r="M370" s="5">
        <v>37551.300000000003</v>
      </c>
      <c r="N370" s="5">
        <v>7348.62</v>
      </c>
      <c r="O370" s="5">
        <v>200.53</v>
      </c>
      <c r="P370" s="2" t="s">
        <v>40</v>
      </c>
    </row>
    <row r="371" spans="1:16" ht="15" customHeight="1" x14ac:dyDescent="0.25">
      <c r="A371" s="2" t="s">
        <v>659</v>
      </c>
      <c r="B371" s="3">
        <v>45628</v>
      </c>
      <c r="C371" s="2" t="s">
        <v>111</v>
      </c>
      <c r="D371" s="2" t="s">
        <v>112</v>
      </c>
      <c r="E371" s="2" t="s">
        <v>113</v>
      </c>
      <c r="F371" s="2" t="s">
        <v>36</v>
      </c>
      <c r="G371" s="2" t="s">
        <v>90</v>
      </c>
      <c r="H371" s="2" t="s">
        <v>91</v>
      </c>
      <c r="I371" s="2" t="s">
        <v>46</v>
      </c>
      <c r="J371" s="4">
        <v>9</v>
      </c>
      <c r="K371" s="5">
        <v>185.85</v>
      </c>
      <c r="L371" s="6">
        <v>0</v>
      </c>
      <c r="M371" s="5">
        <v>1672.65</v>
      </c>
      <c r="N371" s="5">
        <v>555.83000000000004</v>
      </c>
      <c r="O371" s="5">
        <v>190.41</v>
      </c>
      <c r="P371" s="2" t="s">
        <v>32</v>
      </c>
    </row>
    <row r="372" spans="1:16" ht="15" customHeight="1" x14ac:dyDescent="0.25">
      <c r="A372" s="2" t="s">
        <v>660</v>
      </c>
      <c r="B372" s="3">
        <v>45405</v>
      </c>
      <c r="C372" s="2" t="s">
        <v>202</v>
      </c>
      <c r="D372" s="2" t="s">
        <v>203</v>
      </c>
      <c r="E372" s="2" t="s">
        <v>19</v>
      </c>
      <c r="F372" s="2" t="s">
        <v>56</v>
      </c>
      <c r="G372" s="2" t="s">
        <v>183</v>
      </c>
      <c r="H372" s="2" t="s">
        <v>184</v>
      </c>
      <c r="I372" s="2" t="s">
        <v>46</v>
      </c>
      <c r="J372" s="4">
        <v>6</v>
      </c>
      <c r="K372" s="5">
        <v>217.5</v>
      </c>
      <c r="L372" s="6">
        <v>0.2</v>
      </c>
      <c r="M372" s="5">
        <v>1044</v>
      </c>
      <c r="N372" s="5">
        <v>226.06</v>
      </c>
      <c r="O372" s="5">
        <v>201.26</v>
      </c>
      <c r="P372" s="2" t="s">
        <v>40</v>
      </c>
    </row>
    <row r="373" spans="1:16" ht="15" customHeight="1" x14ac:dyDescent="0.25">
      <c r="A373" s="2" t="s">
        <v>661</v>
      </c>
      <c r="B373" s="3">
        <v>45442</v>
      </c>
      <c r="C373" s="2" t="s">
        <v>378</v>
      </c>
      <c r="D373" s="2" t="s">
        <v>379</v>
      </c>
      <c r="E373" s="2" t="s">
        <v>19</v>
      </c>
      <c r="F373" s="2" t="s">
        <v>29</v>
      </c>
      <c r="G373" s="2" t="s">
        <v>196</v>
      </c>
      <c r="H373" s="2" t="s">
        <v>197</v>
      </c>
      <c r="I373" s="2" t="s">
        <v>46</v>
      </c>
      <c r="J373" s="4">
        <v>8</v>
      </c>
      <c r="K373" s="5">
        <v>688.41</v>
      </c>
      <c r="L373" s="6">
        <v>0.05</v>
      </c>
      <c r="M373" s="5">
        <v>5231.92</v>
      </c>
      <c r="N373" s="5">
        <v>2129.0100000000002</v>
      </c>
      <c r="O373" s="5">
        <v>165.91</v>
      </c>
      <c r="P373" s="2" t="s">
        <v>32</v>
      </c>
    </row>
    <row r="374" spans="1:16" ht="15" customHeight="1" x14ac:dyDescent="0.25">
      <c r="A374" s="2" t="s">
        <v>662</v>
      </c>
      <c r="B374" s="3">
        <v>45391</v>
      </c>
      <c r="C374" s="2" t="s">
        <v>284</v>
      </c>
      <c r="D374" s="2" t="s">
        <v>285</v>
      </c>
      <c r="E374" s="2" t="s">
        <v>19</v>
      </c>
      <c r="F374" s="2" t="s">
        <v>107</v>
      </c>
      <c r="G374" s="2" t="s">
        <v>290</v>
      </c>
      <c r="H374" s="2" t="s">
        <v>291</v>
      </c>
      <c r="I374" s="2" t="s">
        <v>23</v>
      </c>
      <c r="J374" s="4">
        <v>9</v>
      </c>
      <c r="K374" s="5">
        <v>1067.28</v>
      </c>
      <c r="L374" s="6">
        <v>0.15</v>
      </c>
      <c r="M374" s="5">
        <v>8164.69</v>
      </c>
      <c r="N374" s="5">
        <v>1965.12</v>
      </c>
      <c r="O374" s="5">
        <v>88.62</v>
      </c>
      <c r="P374" s="2" t="s">
        <v>24</v>
      </c>
    </row>
    <row r="375" spans="1:16" ht="15" customHeight="1" x14ac:dyDescent="0.25">
      <c r="A375" s="2" t="s">
        <v>663</v>
      </c>
      <c r="B375" s="3">
        <v>45467</v>
      </c>
      <c r="C375" s="2" t="s">
        <v>64</v>
      </c>
      <c r="D375" s="2" t="s">
        <v>65</v>
      </c>
      <c r="E375" s="2" t="s">
        <v>28</v>
      </c>
      <c r="F375" s="2" t="s">
        <v>20</v>
      </c>
      <c r="G375" s="2" t="s">
        <v>83</v>
      </c>
      <c r="H375" s="2" t="s">
        <v>84</v>
      </c>
      <c r="I375" s="2" t="s">
        <v>59</v>
      </c>
      <c r="J375" s="4">
        <v>7</v>
      </c>
      <c r="K375" s="5">
        <v>8900.09</v>
      </c>
      <c r="L375" s="6">
        <v>0.05</v>
      </c>
      <c r="M375" s="5">
        <v>59185.599999999999</v>
      </c>
      <c r="N375" s="5">
        <v>22689.51</v>
      </c>
      <c r="O375" s="5">
        <v>218.35</v>
      </c>
      <c r="P375" s="2" t="s">
        <v>73</v>
      </c>
    </row>
    <row r="376" spans="1:16" ht="15" customHeight="1" x14ac:dyDescent="0.25">
      <c r="A376" s="2" t="s">
        <v>664</v>
      </c>
      <c r="B376" s="3">
        <v>45615</v>
      </c>
      <c r="C376" s="2" t="s">
        <v>123</v>
      </c>
      <c r="D376" s="2" t="s">
        <v>124</v>
      </c>
      <c r="E376" s="2" t="s">
        <v>113</v>
      </c>
      <c r="F376" s="2" t="s">
        <v>20</v>
      </c>
      <c r="G376" s="2" t="s">
        <v>309</v>
      </c>
      <c r="H376" s="2" t="s">
        <v>310</v>
      </c>
      <c r="I376" s="2" t="s">
        <v>52</v>
      </c>
      <c r="J376" s="4">
        <v>3</v>
      </c>
      <c r="K376" s="5">
        <v>989.51</v>
      </c>
      <c r="L376" s="6">
        <v>0</v>
      </c>
      <c r="M376" s="5">
        <v>2968.53</v>
      </c>
      <c r="N376" s="5">
        <v>1332.34</v>
      </c>
      <c r="O376" s="5">
        <v>82.91</v>
      </c>
      <c r="P376" s="2" t="s">
        <v>73</v>
      </c>
    </row>
    <row r="377" spans="1:16" ht="15" customHeight="1" x14ac:dyDescent="0.25">
      <c r="A377" s="2" t="s">
        <v>665</v>
      </c>
      <c r="B377" s="3">
        <v>45337</v>
      </c>
      <c r="C377" s="2" t="s">
        <v>156</v>
      </c>
      <c r="D377" s="2" t="s">
        <v>157</v>
      </c>
      <c r="E377" s="2" t="s">
        <v>19</v>
      </c>
      <c r="F377" s="2" t="s">
        <v>36</v>
      </c>
      <c r="G377" s="2" t="s">
        <v>77</v>
      </c>
      <c r="H377" s="2" t="s">
        <v>78</v>
      </c>
      <c r="I377" s="2" t="s">
        <v>59</v>
      </c>
      <c r="J377" s="4">
        <v>3</v>
      </c>
      <c r="K377" s="5">
        <v>5992.94</v>
      </c>
      <c r="L377" s="6">
        <v>0.15</v>
      </c>
      <c r="M377" s="5">
        <v>15282</v>
      </c>
      <c r="N377" s="5">
        <v>3463.58</v>
      </c>
      <c r="O377" s="5">
        <v>118.68</v>
      </c>
      <c r="P377" s="2" t="s">
        <v>88</v>
      </c>
    </row>
    <row r="378" spans="1:16" ht="15" customHeight="1" x14ac:dyDescent="0.25">
      <c r="A378" s="2" t="s">
        <v>666</v>
      </c>
      <c r="B378" s="3">
        <v>45565</v>
      </c>
      <c r="C378" s="2" t="s">
        <v>414</v>
      </c>
      <c r="D378" s="2" t="s">
        <v>415</v>
      </c>
      <c r="E378" s="2" t="s">
        <v>19</v>
      </c>
      <c r="F378" s="2" t="s">
        <v>36</v>
      </c>
      <c r="G378" s="2" t="s">
        <v>175</v>
      </c>
      <c r="H378" s="2" t="s">
        <v>176</v>
      </c>
      <c r="I378" s="2" t="s">
        <v>23</v>
      </c>
      <c r="J378" s="4">
        <v>4</v>
      </c>
      <c r="K378" s="5">
        <v>3449.57</v>
      </c>
      <c r="L378" s="6">
        <v>0</v>
      </c>
      <c r="M378" s="5">
        <v>13798.28</v>
      </c>
      <c r="N378" s="5">
        <v>3132.19</v>
      </c>
      <c r="O378" s="5">
        <v>194.07</v>
      </c>
      <c r="P378" s="2" t="s">
        <v>32</v>
      </c>
    </row>
    <row r="379" spans="1:16" ht="15" customHeight="1" x14ac:dyDescent="0.25">
      <c r="A379" s="2" t="s">
        <v>667</v>
      </c>
      <c r="B379" s="3">
        <v>45612</v>
      </c>
      <c r="C379" s="2" t="s">
        <v>374</v>
      </c>
      <c r="D379" s="2" t="s">
        <v>375</v>
      </c>
      <c r="E379" s="2" t="s">
        <v>113</v>
      </c>
      <c r="F379" s="2" t="s">
        <v>36</v>
      </c>
      <c r="G379" s="2" t="s">
        <v>175</v>
      </c>
      <c r="H379" s="2" t="s">
        <v>176</v>
      </c>
      <c r="I379" s="2" t="s">
        <v>23</v>
      </c>
      <c r="J379" s="4">
        <v>12</v>
      </c>
      <c r="K379" s="5">
        <v>1570.41</v>
      </c>
      <c r="L379" s="6">
        <v>0.15</v>
      </c>
      <c r="M379" s="5">
        <v>16018.18</v>
      </c>
      <c r="N379" s="5">
        <v>1521.8</v>
      </c>
      <c r="O379" s="5">
        <v>91.78</v>
      </c>
      <c r="P379" s="2" t="s">
        <v>24</v>
      </c>
    </row>
    <row r="380" spans="1:16" ht="15" customHeight="1" x14ac:dyDescent="0.25">
      <c r="A380" s="2" t="s">
        <v>668</v>
      </c>
      <c r="B380" s="3">
        <v>45448</v>
      </c>
      <c r="C380" s="2" t="s">
        <v>414</v>
      </c>
      <c r="D380" s="2" t="s">
        <v>415</v>
      </c>
      <c r="E380" s="2" t="s">
        <v>19</v>
      </c>
      <c r="F380" s="2" t="s">
        <v>36</v>
      </c>
      <c r="G380" s="2" t="s">
        <v>37</v>
      </c>
      <c r="H380" s="2" t="s">
        <v>38</v>
      </c>
      <c r="I380" s="2" t="s">
        <v>39</v>
      </c>
      <c r="J380" s="4">
        <v>3</v>
      </c>
      <c r="K380" s="5">
        <v>700.32</v>
      </c>
      <c r="L380" s="6">
        <v>0</v>
      </c>
      <c r="M380" s="5">
        <v>2100.96</v>
      </c>
      <c r="N380" s="5">
        <v>788.8</v>
      </c>
      <c r="O380" s="5">
        <v>86.89</v>
      </c>
      <c r="P380" s="2" t="s">
        <v>32</v>
      </c>
    </row>
    <row r="381" spans="1:16" ht="15" customHeight="1" x14ac:dyDescent="0.25">
      <c r="A381" s="2" t="s">
        <v>669</v>
      </c>
      <c r="B381" s="3">
        <v>45514</v>
      </c>
      <c r="C381" s="2" t="s">
        <v>354</v>
      </c>
      <c r="D381" s="2" t="s">
        <v>355</v>
      </c>
      <c r="E381" s="2" t="s">
        <v>113</v>
      </c>
      <c r="F381" s="2" t="s">
        <v>36</v>
      </c>
      <c r="G381" s="2" t="s">
        <v>215</v>
      </c>
      <c r="H381" s="2" t="s">
        <v>216</v>
      </c>
      <c r="I381" s="2" t="s">
        <v>39</v>
      </c>
      <c r="J381" s="4">
        <v>11</v>
      </c>
      <c r="K381" s="5">
        <v>4979.17</v>
      </c>
      <c r="L381" s="6">
        <v>0</v>
      </c>
      <c r="M381" s="5">
        <v>54770.87</v>
      </c>
      <c r="N381" s="5">
        <v>11007.04</v>
      </c>
      <c r="O381" s="5">
        <v>132.74</v>
      </c>
      <c r="P381" s="2" t="s">
        <v>73</v>
      </c>
    </row>
    <row r="382" spans="1:16" ht="15" customHeight="1" x14ac:dyDescent="0.25">
      <c r="A382" s="2" t="s">
        <v>670</v>
      </c>
      <c r="B382" s="3">
        <v>45408</v>
      </c>
      <c r="C382" s="2" t="s">
        <v>164</v>
      </c>
      <c r="D382" s="2" t="s">
        <v>165</v>
      </c>
      <c r="E382" s="2" t="s">
        <v>19</v>
      </c>
      <c r="F382" s="2" t="s">
        <v>36</v>
      </c>
      <c r="G382" s="2" t="s">
        <v>335</v>
      </c>
      <c r="H382" s="2" t="s">
        <v>336</v>
      </c>
      <c r="I382" s="2" t="s">
        <v>52</v>
      </c>
      <c r="J382" s="4">
        <v>4</v>
      </c>
      <c r="K382" s="5">
        <v>1899.77</v>
      </c>
      <c r="L382" s="6">
        <v>0</v>
      </c>
      <c r="M382" s="5">
        <v>7599.08</v>
      </c>
      <c r="N382" s="5">
        <v>3018.37</v>
      </c>
      <c r="O382" s="5">
        <v>25.04</v>
      </c>
      <c r="P382" s="2" t="s">
        <v>32</v>
      </c>
    </row>
    <row r="383" spans="1:16" ht="15" customHeight="1" x14ac:dyDescent="0.25">
      <c r="A383" s="2" t="s">
        <v>671</v>
      </c>
      <c r="B383" s="3">
        <v>45656</v>
      </c>
      <c r="C383" s="2" t="s">
        <v>164</v>
      </c>
      <c r="D383" s="2" t="s">
        <v>165</v>
      </c>
      <c r="E383" s="2" t="s">
        <v>19</v>
      </c>
      <c r="F383" s="2" t="s">
        <v>36</v>
      </c>
      <c r="G383" s="2" t="s">
        <v>21</v>
      </c>
      <c r="H383" s="2" t="s">
        <v>22</v>
      </c>
      <c r="I383" s="2" t="s">
        <v>23</v>
      </c>
      <c r="J383" s="4">
        <v>11</v>
      </c>
      <c r="K383" s="5">
        <v>3689.3</v>
      </c>
      <c r="L383" s="6">
        <v>0.05</v>
      </c>
      <c r="M383" s="5">
        <v>38553.18</v>
      </c>
      <c r="N383" s="5">
        <v>7339.87</v>
      </c>
      <c r="O383" s="5">
        <v>78.83</v>
      </c>
      <c r="P383" s="2" t="s">
        <v>32</v>
      </c>
    </row>
    <row r="384" spans="1:16" ht="15" customHeight="1" x14ac:dyDescent="0.25">
      <c r="A384" s="2" t="s">
        <v>672</v>
      </c>
      <c r="B384" s="3">
        <v>45316</v>
      </c>
      <c r="C384" s="2" t="s">
        <v>284</v>
      </c>
      <c r="D384" s="2" t="s">
        <v>285</v>
      </c>
      <c r="E384" s="2" t="s">
        <v>19</v>
      </c>
      <c r="F384" s="2" t="s">
        <v>107</v>
      </c>
      <c r="G384" s="2" t="s">
        <v>186</v>
      </c>
      <c r="H384" s="2" t="s">
        <v>187</v>
      </c>
      <c r="I384" s="2" t="s">
        <v>23</v>
      </c>
      <c r="J384" s="4">
        <v>11</v>
      </c>
      <c r="K384" s="5">
        <v>1021.64</v>
      </c>
      <c r="L384" s="6">
        <v>0.2</v>
      </c>
      <c r="M384" s="5">
        <v>8990.43</v>
      </c>
      <c r="N384" s="5">
        <v>2754.04</v>
      </c>
      <c r="O384" s="5">
        <v>178.64</v>
      </c>
      <c r="P384" s="2" t="s">
        <v>88</v>
      </c>
    </row>
    <row r="385" spans="1:16" ht="15" customHeight="1" x14ac:dyDescent="0.25">
      <c r="A385" s="2" t="s">
        <v>673</v>
      </c>
      <c r="B385" s="3">
        <v>45572</v>
      </c>
      <c r="C385" s="2" t="s">
        <v>267</v>
      </c>
      <c r="D385" s="2" t="s">
        <v>268</v>
      </c>
      <c r="E385" s="2" t="s">
        <v>28</v>
      </c>
      <c r="F385" s="2" t="s">
        <v>56</v>
      </c>
      <c r="G385" s="2" t="s">
        <v>193</v>
      </c>
      <c r="H385" s="2" t="s">
        <v>194</v>
      </c>
      <c r="I385" s="2" t="s">
        <v>52</v>
      </c>
      <c r="J385" s="4">
        <v>5</v>
      </c>
      <c r="K385" s="5">
        <v>1343.67</v>
      </c>
      <c r="L385" s="6">
        <v>0</v>
      </c>
      <c r="M385" s="5">
        <v>6718.35</v>
      </c>
      <c r="N385" s="5">
        <v>2678.11</v>
      </c>
      <c r="O385" s="5">
        <v>177.72</v>
      </c>
      <c r="P385" s="2" t="s">
        <v>24</v>
      </c>
    </row>
    <row r="386" spans="1:16" ht="15" customHeight="1" x14ac:dyDescent="0.25">
      <c r="A386" s="2" t="s">
        <v>674</v>
      </c>
      <c r="B386" s="3">
        <v>45631</v>
      </c>
      <c r="C386" s="2" t="s">
        <v>226</v>
      </c>
      <c r="D386" s="2" t="s">
        <v>227</v>
      </c>
      <c r="E386" s="2" t="s">
        <v>113</v>
      </c>
      <c r="F386" s="2" t="s">
        <v>56</v>
      </c>
      <c r="G386" s="2" t="s">
        <v>193</v>
      </c>
      <c r="H386" s="2" t="s">
        <v>194</v>
      </c>
      <c r="I386" s="2" t="s">
        <v>52</v>
      </c>
      <c r="J386" s="4">
        <v>9</v>
      </c>
      <c r="K386" s="5">
        <v>893.95</v>
      </c>
      <c r="L386" s="6">
        <v>0.1</v>
      </c>
      <c r="M386" s="5">
        <v>7240.99</v>
      </c>
      <c r="N386" s="5">
        <v>1406.51</v>
      </c>
      <c r="O386" s="5">
        <v>116.33</v>
      </c>
      <c r="P386" s="2" t="s">
        <v>24</v>
      </c>
    </row>
    <row r="387" spans="1:16" ht="15" customHeight="1" x14ac:dyDescent="0.25">
      <c r="A387" s="2" t="s">
        <v>675</v>
      </c>
      <c r="B387" s="3">
        <v>45436</v>
      </c>
      <c r="C387" s="2" t="s">
        <v>26</v>
      </c>
      <c r="D387" s="2" t="s">
        <v>27</v>
      </c>
      <c r="E387" s="2" t="s">
        <v>28</v>
      </c>
      <c r="F387" s="2" t="s">
        <v>29</v>
      </c>
      <c r="G387" s="2" t="s">
        <v>385</v>
      </c>
      <c r="H387" s="2" t="s">
        <v>386</v>
      </c>
      <c r="I387" s="2" t="s">
        <v>39</v>
      </c>
      <c r="J387" s="4">
        <v>2</v>
      </c>
      <c r="K387" s="5">
        <v>4009.9</v>
      </c>
      <c r="L387" s="6">
        <v>0.05</v>
      </c>
      <c r="M387" s="5">
        <v>7618.81</v>
      </c>
      <c r="N387" s="5">
        <v>2809.64</v>
      </c>
      <c r="O387" s="5">
        <v>65.94</v>
      </c>
      <c r="P387" s="2" t="s">
        <v>40</v>
      </c>
    </row>
    <row r="388" spans="1:16" ht="15" customHeight="1" x14ac:dyDescent="0.25">
      <c r="A388" s="2" t="s">
        <v>676</v>
      </c>
      <c r="B388" s="3">
        <v>45652</v>
      </c>
      <c r="C388" s="2" t="s">
        <v>147</v>
      </c>
      <c r="D388" s="2" t="s">
        <v>148</v>
      </c>
      <c r="E388" s="2" t="s">
        <v>19</v>
      </c>
      <c r="F388" s="2" t="s">
        <v>36</v>
      </c>
      <c r="G388" s="2" t="s">
        <v>57</v>
      </c>
      <c r="H388" s="2" t="s">
        <v>58</v>
      </c>
      <c r="I388" s="2" t="s">
        <v>59</v>
      </c>
      <c r="J388" s="4">
        <v>7</v>
      </c>
      <c r="K388" s="5">
        <v>3503.74</v>
      </c>
      <c r="L388" s="6">
        <v>0</v>
      </c>
      <c r="M388" s="5">
        <v>24526.18</v>
      </c>
      <c r="N388" s="5">
        <v>7675.84</v>
      </c>
      <c r="O388" s="5">
        <v>229.38</v>
      </c>
      <c r="P388" s="2" t="s">
        <v>88</v>
      </c>
    </row>
    <row r="389" spans="1:16" ht="15" customHeight="1" x14ac:dyDescent="0.25">
      <c r="A389" s="2" t="s">
        <v>677</v>
      </c>
      <c r="B389" s="3">
        <v>45298</v>
      </c>
      <c r="C389" s="2" t="s">
        <v>381</v>
      </c>
      <c r="D389" s="2" t="s">
        <v>382</v>
      </c>
      <c r="E389" s="2" t="s">
        <v>19</v>
      </c>
      <c r="F389" s="2" t="s">
        <v>20</v>
      </c>
      <c r="G389" s="2" t="s">
        <v>471</v>
      </c>
      <c r="H389" s="2" t="s">
        <v>472</v>
      </c>
      <c r="I389" s="2" t="s">
        <v>59</v>
      </c>
      <c r="J389" s="4">
        <v>11</v>
      </c>
      <c r="K389" s="5">
        <v>1894.22</v>
      </c>
      <c r="L389" s="6">
        <v>0</v>
      </c>
      <c r="M389" s="5">
        <v>20836.419999999998</v>
      </c>
      <c r="N389" s="5">
        <v>5025.58</v>
      </c>
      <c r="O389" s="5">
        <v>173.88</v>
      </c>
      <c r="P389" s="2" t="s">
        <v>73</v>
      </c>
    </row>
    <row r="390" spans="1:16" ht="15" customHeight="1" x14ac:dyDescent="0.25">
      <c r="A390" s="2" t="s">
        <v>678</v>
      </c>
      <c r="B390" s="3">
        <v>45343</v>
      </c>
      <c r="C390" s="2" t="s">
        <v>199</v>
      </c>
      <c r="D390" s="2" t="s">
        <v>200</v>
      </c>
      <c r="E390" s="2" t="s">
        <v>19</v>
      </c>
      <c r="F390" s="2" t="s">
        <v>36</v>
      </c>
      <c r="G390" s="2" t="s">
        <v>385</v>
      </c>
      <c r="H390" s="2" t="s">
        <v>386</v>
      </c>
      <c r="I390" s="2" t="s">
        <v>39</v>
      </c>
      <c r="J390" s="4">
        <v>5</v>
      </c>
      <c r="K390" s="5">
        <v>3363.95</v>
      </c>
      <c r="L390" s="6">
        <v>0.05</v>
      </c>
      <c r="M390" s="5">
        <v>15978.76</v>
      </c>
      <c r="N390" s="5">
        <v>2570.62</v>
      </c>
      <c r="O390" s="5">
        <v>88.09</v>
      </c>
      <c r="P390" s="2" t="s">
        <v>88</v>
      </c>
    </row>
    <row r="391" spans="1:16" ht="15" customHeight="1" x14ac:dyDescent="0.25">
      <c r="A391" s="2" t="s">
        <v>679</v>
      </c>
      <c r="B391" s="3">
        <v>45312</v>
      </c>
      <c r="C391" s="2" t="s">
        <v>298</v>
      </c>
      <c r="D391" s="2" t="s">
        <v>299</v>
      </c>
      <c r="E391" s="2" t="s">
        <v>113</v>
      </c>
      <c r="F391" s="2" t="s">
        <v>107</v>
      </c>
      <c r="G391" s="2" t="s">
        <v>30</v>
      </c>
      <c r="H391" s="2" t="s">
        <v>31</v>
      </c>
      <c r="I391" s="2" t="s">
        <v>23</v>
      </c>
      <c r="J391" s="4">
        <v>5</v>
      </c>
      <c r="K391" s="5">
        <v>2004.84</v>
      </c>
      <c r="L391" s="6">
        <v>0.15</v>
      </c>
      <c r="M391" s="5">
        <v>8520.57</v>
      </c>
      <c r="N391" s="5">
        <v>2223.6</v>
      </c>
      <c r="O391" s="5">
        <v>189.86</v>
      </c>
      <c r="P391" s="2" t="s">
        <v>24</v>
      </c>
    </row>
    <row r="392" spans="1:16" ht="15" customHeight="1" x14ac:dyDescent="0.25">
      <c r="A392" s="2" t="s">
        <v>680</v>
      </c>
      <c r="B392" s="3">
        <v>45631</v>
      </c>
      <c r="C392" s="2" t="s">
        <v>275</v>
      </c>
      <c r="D392" s="2" t="s">
        <v>276</v>
      </c>
      <c r="E392" s="2" t="s">
        <v>19</v>
      </c>
      <c r="F392" s="2" t="s">
        <v>107</v>
      </c>
      <c r="G392" s="2" t="s">
        <v>30</v>
      </c>
      <c r="H392" s="2" t="s">
        <v>31</v>
      </c>
      <c r="I392" s="2" t="s">
        <v>23</v>
      </c>
      <c r="J392" s="4">
        <v>11</v>
      </c>
      <c r="K392" s="5">
        <v>1265</v>
      </c>
      <c r="L392" s="6">
        <v>0</v>
      </c>
      <c r="M392" s="5">
        <v>13915</v>
      </c>
      <c r="N392" s="5">
        <v>3149.91</v>
      </c>
      <c r="O392" s="5">
        <v>239.67</v>
      </c>
      <c r="P392" s="2" t="s">
        <v>40</v>
      </c>
    </row>
    <row r="393" spans="1:16" ht="15" customHeight="1" x14ac:dyDescent="0.25">
      <c r="A393" s="2" t="s">
        <v>681</v>
      </c>
      <c r="B393" s="3">
        <v>45385</v>
      </c>
      <c r="C393" s="2" t="s">
        <v>199</v>
      </c>
      <c r="D393" s="2" t="s">
        <v>200</v>
      </c>
      <c r="E393" s="2" t="s">
        <v>19</v>
      </c>
      <c r="F393" s="2" t="s">
        <v>36</v>
      </c>
      <c r="G393" s="2" t="s">
        <v>350</v>
      </c>
      <c r="H393" s="2" t="s">
        <v>351</v>
      </c>
      <c r="I393" s="2" t="s">
        <v>46</v>
      </c>
      <c r="J393" s="4">
        <v>2</v>
      </c>
      <c r="K393" s="5">
        <v>350.58</v>
      </c>
      <c r="L393" s="6">
        <v>0.05</v>
      </c>
      <c r="M393" s="5">
        <v>666.1</v>
      </c>
      <c r="N393" s="5">
        <v>232.81</v>
      </c>
      <c r="O393" s="5">
        <v>108.71</v>
      </c>
      <c r="P393" s="2" t="s">
        <v>88</v>
      </c>
    </row>
    <row r="394" spans="1:16" ht="15" customHeight="1" x14ac:dyDescent="0.25">
      <c r="A394" s="2" t="s">
        <v>682</v>
      </c>
      <c r="B394" s="3">
        <v>45359</v>
      </c>
      <c r="C394" s="2" t="s">
        <v>131</v>
      </c>
      <c r="D394" s="2" t="s">
        <v>132</v>
      </c>
      <c r="E394" s="2" t="s">
        <v>113</v>
      </c>
      <c r="F394" s="2" t="s">
        <v>20</v>
      </c>
      <c r="G394" s="2" t="s">
        <v>205</v>
      </c>
      <c r="H394" s="2" t="s">
        <v>206</v>
      </c>
      <c r="I394" s="2" t="s">
        <v>59</v>
      </c>
      <c r="J394" s="4">
        <v>12</v>
      </c>
      <c r="K394" s="5">
        <v>6866.01</v>
      </c>
      <c r="L394" s="6">
        <v>0.2</v>
      </c>
      <c r="M394" s="5">
        <v>65913.7</v>
      </c>
      <c r="N394" s="5">
        <v>17314.8</v>
      </c>
      <c r="O394" s="5">
        <v>115.69</v>
      </c>
      <c r="P394" s="2" t="s">
        <v>32</v>
      </c>
    </row>
    <row r="395" spans="1:16" ht="15" customHeight="1" x14ac:dyDescent="0.25">
      <c r="A395" s="2" t="s">
        <v>683</v>
      </c>
      <c r="B395" s="3">
        <v>45384</v>
      </c>
      <c r="C395" s="2" t="s">
        <v>232</v>
      </c>
      <c r="D395" s="2" t="s">
        <v>233</v>
      </c>
      <c r="E395" s="2" t="s">
        <v>19</v>
      </c>
      <c r="F395" s="2" t="s">
        <v>107</v>
      </c>
      <c r="G395" s="2" t="s">
        <v>144</v>
      </c>
      <c r="H395" s="2" t="s">
        <v>145</v>
      </c>
      <c r="I395" s="2" t="s">
        <v>39</v>
      </c>
      <c r="J395" s="4">
        <v>10</v>
      </c>
      <c r="K395" s="5">
        <v>2146.85</v>
      </c>
      <c r="L395" s="6">
        <v>0</v>
      </c>
      <c r="M395" s="5">
        <v>21468.5</v>
      </c>
      <c r="N395" s="5">
        <v>6379.59</v>
      </c>
      <c r="O395" s="5">
        <v>218.39</v>
      </c>
      <c r="P395" s="2" t="s">
        <v>73</v>
      </c>
    </row>
    <row r="396" spans="1:16" ht="15" customHeight="1" x14ac:dyDescent="0.25">
      <c r="A396" s="2" t="s">
        <v>684</v>
      </c>
      <c r="B396" s="3">
        <v>45502</v>
      </c>
      <c r="C396" s="2" t="s">
        <v>232</v>
      </c>
      <c r="D396" s="2" t="s">
        <v>233</v>
      </c>
      <c r="E396" s="2" t="s">
        <v>19</v>
      </c>
      <c r="F396" s="2" t="s">
        <v>107</v>
      </c>
      <c r="G396" s="2" t="s">
        <v>193</v>
      </c>
      <c r="H396" s="2" t="s">
        <v>194</v>
      </c>
      <c r="I396" s="2" t="s">
        <v>52</v>
      </c>
      <c r="J396" s="4">
        <v>8</v>
      </c>
      <c r="K396" s="5">
        <v>401.14</v>
      </c>
      <c r="L396" s="6">
        <v>0</v>
      </c>
      <c r="M396" s="5">
        <v>3209.12</v>
      </c>
      <c r="N396" s="5">
        <v>918.63</v>
      </c>
      <c r="O396" s="5">
        <v>22.84</v>
      </c>
      <c r="P396" s="2" t="s">
        <v>32</v>
      </c>
    </row>
    <row r="397" spans="1:16" ht="15" customHeight="1" x14ac:dyDescent="0.25">
      <c r="A397" s="2" t="s">
        <v>685</v>
      </c>
      <c r="B397" s="3">
        <v>45634</v>
      </c>
      <c r="C397" s="2" t="s">
        <v>156</v>
      </c>
      <c r="D397" s="2" t="s">
        <v>157</v>
      </c>
      <c r="E397" s="2" t="s">
        <v>19</v>
      </c>
      <c r="F397" s="2" t="s">
        <v>36</v>
      </c>
      <c r="G397" s="2" t="s">
        <v>133</v>
      </c>
      <c r="H397" s="2" t="s">
        <v>134</v>
      </c>
      <c r="I397" s="2" t="s">
        <v>39</v>
      </c>
      <c r="J397" s="4">
        <v>6</v>
      </c>
      <c r="K397" s="5">
        <v>2787.86</v>
      </c>
      <c r="L397" s="6">
        <v>0.15</v>
      </c>
      <c r="M397" s="5">
        <v>14218.09</v>
      </c>
      <c r="N397" s="5">
        <v>2088.4699999999998</v>
      </c>
      <c r="O397" s="5">
        <v>41.91</v>
      </c>
      <c r="P397" s="2" t="s">
        <v>73</v>
      </c>
    </row>
    <row r="398" spans="1:16" ht="15" customHeight="1" x14ac:dyDescent="0.25">
      <c r="A398" s="2" t="s">
        <v>686</v>
      </c>
      <c r="B398" s="3">
        <v>45368</v>
      </c>
      <c r="C398" s="2" t="s">
        <v>232</v>
      </c>
      <c r="D398" s="2" t="s">
        <v>233</v>
      </c>
      <c r="E398" s="2" t="s">
        <v>19</v>
      </c>
      <c r="F398" s="2" t="s">
        <v>107</v>
      </c>
      <c r="G398" s="2" t="s">
        <v>108</v>
      </c>
      <c r="H398" s="2" t="s">
        <v>109</v>
      </c>
      <c r="I398" s="2" t="s">
        <v>46</v>
      </c>
      <c r="J398" s="4">
        <v>9</v>
      </c>
      <c r="K398" s="5">
        <v>719.05</v>
      </c>
      <c r="L398" s="6">
        <v>0.1</v>
      </c>
      <c r="M398" s="5">
        <v>5824.31</v>
      </c>
      <c r="N398" s="5">
        <v>2176.73</v>
      </c>
      <c r="O398" s="5">
        <v>167.98</v>
      </c>
      <c r="P398" s="2" t="s">
        <v>73</v>
      </c>
    </row>
    <row r="399" spans="1:16" ht="15" customHeight="1" x14ac:dyDescent="0.25">
      <c r="A399" s="2" t="s">
        <v>687</v>
      </c>
      <c r="B399" s="3">
        <v>45376</v>
      </c>
      <c r="C399" s="2" t="s">
        <v>111</v>
      </c>
      <c r="D399" s="2" t="s">
        <v>112</v>
      </c>
      <c r="E399" s="2" t="s">
        <v>113</v>
      </c>
      <c r="F399" s="2" t="s">
        <v>36</v>
      </c>
      <c r="G399" s="2" t="s">
        <v>158</v>
      </c>
      <c r="H399" s="2" t="s">
        <v>159</v>
      </c>
      <c r="I399" s="2" t="s">
        <v>52</v>
      </c>
      <c r="J399" s="4">
        <v>2</v>
      </c>
      <c r="K399" s="5">
        <v>1953.15</v>
      </c>
      <c r="L399" s="6">
        <v>0</v>
      </c>
      <c r="M399" s="5">
        <v>3906.3</v>
      </c>
      <c r="N399" s="5">
        <v>1522.59</v>
      </c>
      <c r="O399" s="5">
        <v>243.13</v>
      </c>
      <c r="P399" s="2" t="s">
        <v>24</v>
      </c>
    </row>
    <row r="400" spans="1:16" ht="15" customHeight="1" x14ac:dyDescent="0.25">
      <c r="A400" s="2" t="s">
        <v>688</v>
      </c>
      <c r="B400" s="3">
        <v>45621</v>
      </c>
      <c r="C400" s="2" t="s">
        <v>111</v>
      </c>
      <c r="D400" s="2" t="s">
        <v>112</v>
      </c>
      <c r="E400" s="2" t="s">
        <v>113</v>
      </c>
      <c r="F400" s="2" t="s">
        <v>36</v>
      </c>
      <c r="G400" s="2" t="s">
        <v>433</v>
      </c>
      <c r="H400" s="2" t="s">
        <v>434</v>
      </c>
      <c r="I400" s="2" t="s">
        <v>59</v>
      </c>
      <c r="J400" s="4">
        <v>7</v>
      </c>
      <c r="K400" s="5">
        <v>4345.5600000000004</v>
      </c>
      <c r="L400" s="6">
        <v>0</v>
      </c>
      <c r="M400" s="5">
        <v>30418.92</v>
      </c>
      <c r="N400" s="5">
        <v>13089.03</v>
      </c>
      <c r="O400" s="5">
        <v>122.16</v>
      </c>
      <c r="P400" s="2" t="s">
        <v>32</v>
      </c>
    </row>
    <row r="401" spans="1:16" ht="15" customHeight="1" x14ac:dyDescent="0.25">
      <c r="A401" s="2" t="s">
        <v>689</v>
      </c>
      <c r="B401" s="3">
        <v>45520</v>
      </c>
      <c r="C401" s="2" t="s">
        <v>208</v>
      </c>
      <c r="D401" s="2" t="s">
        <v>209</v>
      </c>
      <c r="E401" s="2" t="s">
        <v>19</v>
      </c>
      <c r="F401" s="2" t="s">
        <v>29</v>
      </c>
      <c r="G401" s="2" t="s">
        <v>290</v>
      </c>
      <c r="H401" s="2" t="s">
        <v>291</v>
      </c>
      <c r="I401" s="2" t="s">
        <v>23</v>
      </c>
      <c r="J401" s="4">
        <v>6</v>
      </c>
      <c r="K401" s="5">
        <v>1062.96</v>
      </c>
      <c r="L401" s="6">
        <v>0.05</v>
      </c>
      <c r="M401" s="5">
        <v>6058.87</v>
      </c>
      <c r="N401" s="5">
        <v>1362.86</v>
      </c>
      <c r="O401" s="5">
        <v>24.09</v>
      </c>
      <c r="P401" s="2" t="s">
        <v>88</v>
      </c>
    </row>
    <row r="402" spans="1:16" ht="15" customHeight="1" x14ac:dyDescent="0.25">
      <c r="A402" s="2" t="s">
        <v>690</v>
      </c>
      <c r="B402" s="3">
        <v>45573</v>
      </c>
      <c r="C402" s="2" t="s">
        <v>258</v>
      </c>
      <c r="D402" s="2" t="s">
        <v>259</v>
      </c>
      <c r="E402" s="2" t="s">
        <v>28</v>
      </c>
      <c r="F402" s="2" t="s">
        <v>56</v>
      </c>
      <c r="G402" s="2" t="s">
        <v>228</v>
      </c>
      <c r="H402" s="2" t="s">
        <v>229</v>
      </c>
      <c r="I402" s="2" t="s">
        <v>23</v>
      </c>
      <c r="J402" s="4">
        <v>1</v>
      </c>
      <c r="K402" s="5">
        <v>3821.04</v>
      </c>
      <c r="L402" s="6">
        <v>0.2</v>
      </c>
      <c r="M402" s="5">
        <v>3056.83</v>
      </c>
      <c r="N402" s="5">
        <v>378.09</v>
      </c>
      <c r="O402" s="5">
        <v>162.38999999999999</v>
      </c>
      <c r="P402" s="2" t="s">
        <v>40</v>
      </c>
    </row>
    <row r="403" spans="1:16" ht="15" customHeight="1" x14ac:dyDescent="0.25">
      <c r="A403" s="2" t="s">
        <v>691</v>
      </c>
      <c r="B403" s="3">
        <v>45627</v>
      </c>
      <c r="C403" s="2" t="s">
        <v>26</v>
      </c>
      <c r="D403" s="2" t="s">
        <v>27</v>
      </c>
      <c r="E403" s="2" t="s">
        <v>28</v>
      </c>
      <c r="F403" s="2" t="s">
        <v>29</v>
      </c>
      <c r="G403" s="2" t="s">
        <v>133</v>
      </c>
      <c r="H403" s="2" t="s">
        <v>134</v>
      </c>
      <c r="I403" s="2" t="s">
        <v>39</v>
      </c>
      <c r="J403" s="4">
        <v>11</v>
      </c>
      <c r="K403" s="5">
        <v>2498.56</v>
      </c>
      <c r="L403" s="6">
        <v>0</v>
      </c>
      <c r="M403" s="5">
        <v>27484.16</v>
      </c>
      <c r="N403" s="5">
        <v>9871.33</v>
      </c>
      <c r="O403" s="5">
        <v>32.479999999999997</v>
      </c>
      <c r="P403" s="2" t="s">
        <v>73</v>
      </c>
    </row>
    <row r="404" spans="1:16" ht="15" customHeight="1" x14ac:dyDescent="0.25">
      <c r="A404" s="2" t="s">
        <v>692</v>
      </c>
      <c r="B404" s="3">
        <v>45609</v>
      </c>
      <c r="C404" s="2" t="s">
        <v>281</v>
      </c>
      <c r="D404" s="2" t="s">
        <v>282</v>
      </c>
      <c r="E404" s="2" t="s">
        <v>19</v>
      </c>
      <c r="F404" s="2" t="s">
        <v>29</v>
      </c>
      <c r="G404" s="2" t="s">
        <v>125</v>
      </c>
      <c r="H404" s="2" t="s">
        <v>126</v>
      </c>
      <c r="I404" s="2" t="s">
        <v>46</v>
      </c>
      <c r="J404" s="4">
        <v>10</v>
      </c>
      <c r="K404" s="5">
        <v>404.85</v>
      </c>
      <c r="L404" s="6">
        <v>0.15</v>
      </c>
      <c r="M404" s="5">
        <v>3441.22</v>
      </c>
      <c r="N404" s="5">
        <v>846.85</v>
      </c>
      <c r="O404" s="5">
        <v>124.08</v>
      </c>
      <c r="P404" s="2" t="s">
        <v>24</v>
      </c>
    </row>
    <row r="405" spans="1:16" ht="15" customHeight="1" x14ac:dyDescent="0.25">
      <c r="A405" s="2" t="s">
        <v>693</v>
      </c>
      <c r="B405" s="3">
        <v>45473</v>
      </c>
      <c r="C405" s="2" t="s">
        <v>128</v>
      </c>
      <c r="D405" s="2" t="s">
        <v>129</v>
      </c>
      <c r="E405" s="2" t="s">
        <v>28</v>
      </c>
      <c r="F405" s="2" t="s">
        <v>107</v>
      </c>
      <c r="G405" s="2" t="s">
        <v>21</v>
      </c>
      <c r="H405" s="2" t="s">
        <v>22</v>
      </c>
      <c r="I405" s="2" t="s">
        <v>23</v>
      </c>
      <c r="J405" s="4">
        <v>11</v>
      </c>
      <c r="K405" s="5">
        <v>4361.29</v>
      </c>
      <c r="L405" s="6">
        <v>0</v>
      </c>
      <c r="M405" s="5">
        <v>47974.19</v>
      </c>
      <c r="N405" s="5">
        <v>15019.63</v>
      </c>
      <c r="O405" s="5">
        <v>105.99</v>
      </c>
      <c r="P405" s="2" t="s">
        <v>24</v>
      </c>
    </row>
    <row r="406" spans="1:16" ht="15" customHeight="1" x14ac:dyDescent="0.25">
      <c r="A406" s="2" t="s">
        <v>694</v>
      </c>
      <c r="B406" s="3">
        <v>45363</v>
      </c>
      <c r="C406" s="2" t="s">
        <v>275</v>
      </c>
      <c r="D406" s="2" t="s">
        <v>276</v>
      </c>
      <c r="E406" s="2" t="s">
        <v>19</v>
      </c>
      <c r="F406" s="2" t="s">
        <v>107</v>
      </c>
      <c r="G406" s="2" t="s">
        <v>77</v>
      </c>
      <c r="H406" s="2" t="s">
        <v>78</v>
      </c>
      <c r="I406" s="2" t="s">
        <v>59</v>
      </c>
      <c r="J406" s="4">
        <v>12</v>
      </c>
      <c r="K406" s="5">
        <v>6991.58</v>
      </c>
      <c r="L406" s="6">
        <v>0.05</v>
      </c>
      <c r="M406" s="5">
        <v>79704.009999999995</v>
      </c>
      <c r="N406" s="5">
        <v>31316.09</v>
      </c>
      <c r="O406" s="5">
        <v>160.5</v>
      </c>
      <c r="P406" s="2" t="s">
        <v>73</v>
      </c>
    </row>
    <row r="407" spans="1:16" ht="15" customHeight="1" x14ac:dyDescent="0.25">
      <c r="A407" s="2" t="s">
        <v>695</v>
      </c>
      <c r="B407" s="3">
        <v>45526</v>
      </c>
      <c r="C407" s="2" t="s">
        <v>189</v>
      </c>
      <c r="D407" s="2" t="s">
        <v>182</v>
      </c>
      <c r="E407" s="2" t="s">
        <v>19</v>
      </c>
      <c r="F407" s="2" t="s">
        <v>56</v>
      </c>
      <c r="G407" s="2" t="s">
        <v>149</v>
      </c>
      <c r="H407" s="2" t="s">
        <v>150</v>
      </c>
      <c r="I407" s="2" t="s">
        <v>52</v>
      </c>
      <c r="J407" s="4">
        <v>4</v>
      </c>
      <c r="K407" s="5">
        <v>1876.93</v>
      </c>
      <c r="L407" s="6">
        <v>0</v>
      </c>
      <c r="M407" s="5">
        <v>7507.72</v>
      </c>
      <c r="N407" s="5">
        <v>1957.36</v>
      </c>
      <c r="O407" s="5">
        <v>30.7</v>
      </c>
      <c r="P407" s="2" t="s">
        <v>32</v>
      </c>
    </row>
    <row r="408" spans="1:16" ht="15" customHeight="1" x14ac:dyDescent="0.25">
      <c r="A408" s="2" t="s">
        <v>696</v>
      </c>
      <c r="B408" s="3">
        <v>45629</v>
      </c>
      <c r="C408" s="2" t="s">
        <v>189</v>
      </c>
      <c r="D408" s="2" t="s">
        <v>182</v>
      </c>
      <c r="E408" s="2" t="s">
        <v>19</v>
      </c>
      <c r="F408" s="2" t="s">
        <v>56</v>
      </c>
      <c r="G408" s="2" t="s">
        <v>158</v>
      </c>
      <c r="H408" s="2" t="s">
        <v>159</v>
      </c>
      <c r="I408" s="2" t="s">
        <v>52</v>
      </c>
      <c r="J408" s="4">
        <v>10</v>
      </c>
      <c r="K408" s="5">
        <v>2403.62</v>
      </c>
      <c r="L408" s="6">
        <v>0</v>
      </c>
      <c r="M408" s="5">
        <v>24036.2</v>
      </c>
      <c r="N408" s="5">
        <v>5024.4399999999996</v>
      </c>
      <c r="O408" s="5">
        <v>21</v>
      </c>
      <c r="P408" s="2" t="s">
        <v>24</v>
      </c>
    </row>
    <row r="409" spans="1:16" ht="15" customHeight="1" x14ac:dyDescent="0.25">
      <c r="A409" s="2" t="s">
        <v>697</v>
      </c>
      <c r="B409" s="3">
        <v>45539</v>
      </c>
      <c r="C409" s="2" t="s">
        <v>213</v>
      </c>
      <c r="D409" s="2" t="s">
        <v>214</v>
      </c>
      <c r="E409" s="2" t="s">
        <v>19</v>
      </c>
      <c r="F409" s="2" t="s">
        <v>36</v>
      </c>
      <c r="G409" s="2" t="s">
        <v>50</v>
      </c>
      <c r="H409" s="2" t="s">
        <v>51</v>
      </c>
      <c r="I409" s="2" t="s">
        <v>52</v>
      </c>
      <c r="J409" s="4">
        <v>9</v>
      </c>
      <c r="K409" s="5">
        <v>2018.38</v>
      </c>
      <c r="L409" s="6">
        <v>0</v>
      </c>
      <c r="M409" s="5">
        <v>18165.419999999998</v>
      </c>
      <c r="N409" s="5">
        <v>5032.6499999999996</v>
      </c>
      <c r="O409" s="5">
        <v>59.94</v>
      </c>
      <c r="P409" s="2" t="s">
        <v>73</v>
      </c>
    </row>
    <row r="410" spans="1:16" ht="15" customHeight="1" x14ac:dyDescent="0.25">
      <c r="A410" s="2" t="s">
        <v>698</v>
      </c>
      <c r="B410" s="3">
        <v>45602</v>
      </c>
      <c r="C410" s="2" t="s">
        <v>538</v>
      </c>
      <c r="D410" s="2" t="s">
        <v>539</v>
      </c>
      <c r="E410" s="2" t="s">
        <v>28</v>
      </c>
      <c r="F410" s="2" t="s">
        <v>107</v>
      </c>
      <c r="G410" s="2" t="s">
        <v>50</v>
      </c>
      <c r="H410" s="2" t="s">
        <v>51</v>
      </c>
      <c r="I410" s="2" t="s">
        <v>52</v>
      </c>
      <c r="J410" s="4">
        <v>6</v>
      </c>
      <c r="K410" s="5">
        <v>1409.04</v>
      </c>
      <c r="L410" s="6">
        <v>0.05</v>
      </c>
      <c r="M410" s="5">
        <v>8031.53</v>
      </c>
      <c r="N410" s="5">
        <v>2496.8200000000002</v>
      </c>
      <c r="O410" s="5">
        <v>160.07</v>
      </c>
      <c r="P410" s="2" t="s">
        <v>73</v>
      </c>
    </row>
    <row r="411" spans="1:16" ht="15" customHeight="1" x14ac:dyDescent="0.25">
      <c r="A411" s="2" t="s">
        <v>699</v>
      </c>
      <c r="B411" s="3">
        <v>45442</v>
      </c>
      <c r="C411" s="2" t="s">
        <v>170</v>
      </c>
      <c r="D411" s="2" t="s">
        <v>171</v>
      </c>
      <c r="E411" s="2" t="s">
        <v>28</v>
      </c>
      <c r="F411" s="2" t="s">
        <v>20</v>
      </c>
      <c r="G411" s="2" t="s">
        <v>309</v>
      </c>
      <c r="H411" s="2" t="s">
        <v>310</v>
      </c>
      <c r="I411" s="2" t="s">
        <v>52</v>
      </c>
      <c r="J411" s="4">
        <v>8</v>
      </c>
      <c r="K411" s="5">
        <v>2070.5500000000002</v>
      </c>
      <c r="L411" s="6">
        <v>0</v>
      </c>
      <c r="M411" s="5">
        <v>16564.400000000001</v>
      </c>
      <c r="N411" s="5">
        <v>5744.76</v>
      </c>
      <c r="O411" s="5">
        <v>181</v>
      </c>
      <c r="P411" s="2" t="s">
        <v>32</v>
      </c>
    </row>
    <row r="412" spans="1:16" ht="15" customHeight="1" x14ac:dyDescent="0.25">
      <c r="A412" s="2" t="s">
        <v>700</v>
      </c>
      <c r="B412" s="3">
        <v>45656</v>
      </c>
      <c r="C412" s="2" t="s">
        <v>226</v>
      </c>
      <c r="D412" s="2" t="s">
        <v>227</v>
      </c>
      <c r="E412" s="2" t="s">
        <v>113</v>
      </c>
      <c r="F412" s="2" t="s">
        <v>56</v>
      </c>
      <c r="G412" s="2" t="s">
        <v>215</v>
      </c>
      <c r="H412" s="2" t="s">
        <v>216</v>
      </c>
      <c r="I412" s="2" t="s">
        <v>39</v>
      </c>
      <c r="J412" s="4">
        <v>12</v>
      </c>
      <c r="K412" s="5">
        <v>4703.3599999999997</v>
      </c>
      <c r="L412" s="6">
        <v>0.15</v>
      </c>
      <c r="M412" s="5">
        <v>47974.27</v>
      </c>
      <c r="N412" s="5">
        <v>13865.37</v>
      </c>
      <c r="O412" s="5">
        <v>68.23</v>
      </c>
      <c r="P412" s="2" t="s">
        <v>40</v>
      </c>
    </row>
    <row r="413" spans="1:16" ht="15" customHeight="1" x14ac:dyDescent="0.25">
      <c r="A413" s="2" t="s">
        <v>701</v>
      </c>
      <c r="B413" s="3">
        <v>45549</v>
      </c>
      <c r="C413" s="2" t="s">
        <v>93</v>
      </c>
      <c r="D413" s="2" t="s">
        <v>94</v>
      </c>
      <c r="E413" s="2" t="s">
        <v>28</v>
      </c>
      <c r="F413" s="2" t="s">
        <v>20</v>
      </c>
      <c r="G413" s="2" t="s">
        <v>86</v>
      </c>
      <c r="H413" s="2" t="s">
        <v>87</v>
      </c>
      <c r="I413" s="2" t="s">
        <v>59</v>
      </c>
      <c r="J413" s="4">
        <v>9</v>
      </c>
      <c r="K413" s="5">
        <v>6615.63</v>
      </c>
      <c r="L413" s="6">
        <v>0</v>
      </c>
      <c r="M413" s="5">
        <v>59540.67</v>
      </c>
      <c r="N413" s="5">
        <v>16219.58</v>
      </c>
      <c r="O413" s="5">
        <v>194.98</v>
      </c>
      <c r="P413" s="2" t="s">
        <v>32</v>
      </c>
    </row>
    <row r="414" spans="1:16" ht="15" customHeight="1" x14ac:dyDescent="0.25">
      <c r="A414" s="2" t="s">
        <v>702</v>
      </c>
      <c r="B414" s="3">
        <v>45633</v>
      </c>
      <c r="C414" s="2" t="s">
        <v>232</v>
      </c>
      <c r="D414" s="2" t="s">
        <v>233</v>
      </c>
      <c r="E414" s="2" t="s">
        <v>19</v>
      </c>
      <c r="F414" s="2" t="s">
        <v>107</v>
      </c>
      <c r="G414" s="2" t="s">
        <v>37</v>
      </c>
      <c r="H414" s="2" t="s">
        <v>38</v>
      </c>
      <c r="I414" s="2" t="s">
        <v>39</v>
      </c>
      <c r="J414" s="4">
        <v>12</v>
      </c>
      <c r="K414" s="5">
        <v>2320.4</v>
      </c>
      <c r="L414" s="6">
        <v>0.15</v>
      </c>
      <c r="M414" s="5">
        <v>23668.080000000002</v>
      </c>
      <c r="N414" s="5">
        <v>2131.06</v>
      </c>
      <c r="O414" s="5">
        <v>142.80000000000001</v>
      </c>
      <c r="P414" s="2" t="s">
        <v>88</v>
      </c>
    </row>
    <row r="415" spans="1:16" ht="15" customHeight="1" x14ac:dyDescent="0.25">
      <c r="A415" s="2" t="s">
        <v>703</v>
      </c>
      <c r="B415" s="3">
        <v>45304</v>
      </c>
      <c r="C415" s="2" t="s">
        <v>48</v>
      </c>
      <c r="D415" s="2" t="s">
        <v>49</v>
      </c>
      <c r="E415" s="2" t="s">
        <v>19</v>
      </c>
      <c r="F415" s="2" t="s">
        <v>29</v>
      </c>
      <c r="G415" s="2" t="s">
        <v>385</v>
      </c>
      <c r="H415" s="2" t="s">
        <v>386</v>
      </c>
      <c r="I415" s="2" t="s">
        <v>39</v>
      </c>
      <c r="J415" s="4">
        <v>7</v>
      </c>
      <c r="K415" s="5">
        <v>1068.5</v>
      </c>
      <c r="L415" s="6">
        <v>0.15</v>
      </c>
      <c r="M415" s="5">
        <v>6357.57</v>
      </c>
      <c r="N415" s="5">
        <v>2138</v>
      </c>
      <c r="O415" s="5">
        <v>81.41</v>
      </c>
      <c r="P415" s="2" t="s">
        <v>73</v>
      </c>
    </row>
    <row r="416" spans="1:16" ht="15" customHeight="1" x14ac:dyDescent="0.25">
      <c r="A416" s="2" t="s">
        <v>704</v>
      </c>
      <c r="B416" s="3">
        <v>45323</v>
      </c>
      <c r="C416" s="2" t="s">
        <v>411</v>
      </c>
      <c r="D416" s="2" t="s">
        <v>412</v>
      </c>
      <c r="E416" s="2" t="s">
        <v>28</v>
      </c>
      <c r="F416" s="2" t="s">
        <v>29</v>
      </c>
      <c r="G416" s="2" t="s">
        <v>90</v>
      </c>
      <c r="H416" s="2" t="s">
        <v>91</v>
      </c>
      <c r="I416" s="2" t="s">
        <v>46</v>
      </c>
      <c r="J416" s="4">
        <v>12</v>
      </c>
      <c r="K416" s="5">
        <v>638.27</v>
      </c>
      <c r="L416" s="6">
        <v>0</v>
      </c>
      <c r="M416" s="5">
        <v>7659.24</v>
      </c>
      <c r="N416" s="5">
        <v>2003.67</v>
      </c>
      <c r="O416" s="5">
        <v>27.43</v>
      </c>
      <c r="P416" s="2" t="s">
        <v>88</v>
      </c>
    </row>
    <row r="417" spans="1:16" ht="15" customHeight="1" x14ac:dyDescent="0.25">
      <c r="A417" s="2" t="s">
        <v>705</v>
      </c>
      <c r="B417" s="3">
        <v>45406</v>
      </c>
      <c r="C417" s="2" t="s">
        <v>538</v>
      </c>
      <c r="D417" s="2" t="s">
        <v>539</v>
      </c>
      <c r="E417" s="2" t="s">
        <v>28</v>
      </c>
      <c r="F417" s="2" t="s">
        <v>107</v>
      </c>
      <c r="G417" s="2" t="s">
        <v>223</v>
      </c>
      <c r="H417" s="2" t="s">
        <v>224</v>
      </c>
      <c r="I417" s="2" t="s">
        <v>39</v>
      </c>
      <c r="J417" s="4">
        <v>12</v>
      </c>
      <c r="K417" s="5">
        <v>3376.75</v>
      </c>
      <c r="L417" s="6">
        <v>0.05</v>
      </c>
      <c r="M417" s="5">
        <v>38494.949999999997</v>
      </c>
      <c r="N417" s="5">
        <v>13801.5</v>
      </c>
      <c r="O417" s="5">
        <v>200.39</v>
      </c>
      <c r="P417" s="2" t="s">
        <v>40</v>
      </c>
    </row>
    <row r="418" spans="1:16" ht="15" customHeight="1" x14ac:dyDescent="0.25">
      <c r="A418" s="2" t="s">
        <v>706</v>
      </c>
      <c r="B418" s="3">
        <v>45505</v>
      </c>
      <c r="C418" s="2" t="s">
        <v>298</v>
      </c>
      <c r="D418" s="2" t="s">
        <v>299</v>
      </c>
      <c r="E418" s="2" t="s">
        <v>113</v>
      </c>
      <c r="F418" s="2" t="s">
        <v>107</v>
      </c>
      <c r="G418" s="2" t="s">
        <v>153</v>
      </c>
      <c r="H418" s="2" t="s">
        <v>154</v>
      </c>
      <c r="I418" s="2" t="s">
        <v>52</v>
      </c>
      <c r="J418" s="4">
        <v>11</v>
      </c>
      <c r="K418" s="5">
        <v>987.84</v>
      </c>
      <c r="L418" s="6">
        <v>0.1</v>
      </c>
      <c r="M418" s="5">
        <v>9779.6200000000008</v>
      </c>
      <c r="N418" s="5">
        <v>3657.03</v>
      </c>
      <c r="O418" s="5">
        <v>191.04</v>
      </c>
      <c r="P418" s="2" t="s">
        <v>73</v>
      </c>
    </row>
    <row r="419" spans="1:16" ht="15" customHeight="1" x14ac:dyDescent="0.25">
      <c r="A419" s="2" t="s">
        <v>707</v>
      </c>
      <c r="B419" s="3">
        <v>45616</v>
      </c>
      <c r="C419" s="2" t="s">
        <v>284</v>
      </c>
      <c r="D419" s="2" t="s">
        <v>285</v>
      </c>
      <c r="E419" s="2" t="s">
        <v>19</v>
      </c>
      <c r="F419" s="2" t="s">
        <v>107</v>
      </c>
      <c r="G419" s="2" t="s">
        <v>149</v>
      </c>
      <c r="H419" s="2" t="s">
        <v>150</v>
      </c>
      <c r="I419" s="2" t="s">
        <v>52</v>
      </c>
      <c r="J419" s="4">
        <v>12</v>
      </c>
      <c r="K419" s="5">
        <v>1861</v>
      </c>
      <c r="L419" s="6">
        <v>0</v>
      </c>
      <c r="M419" s="5">
        <v>22332</v>
      </c>
      <c r="N419" s="5">
        <v>5833.63</v>
      </c>
      <c r="O419" s="5">
        <v>145.72</v>
      </c>
      <c r="P419" s="2" t="s">
        <v>32</v>
      </c>
    </row>
    <row r="420" spans="1:16" ht="15" customHeight="1" x14ac:dyDescent="0.25">
      <c r="A420" s="2" t="s">
        <v>708</v>
      </c>
      <c r="B420" s="3">
        <v>45521</v>
      </c>
      <c r="C420" s="2" t="s">
        <v>105</v>
      </c>
      <c r="D420" s="2" t="s">
        <v>106</v>
      </c>
      <c r="E420" s="2" t="s">
        <v>19</v>
      </c>
      <c r="F420" s="2" t="s">
        <v>107</v>
      </c>
      <c r="G420" s="2" t="s">
        <v>239</v>
      </c>
      <c r="H420" s="2" t="s">
        <v>240</v>
      </c>
      <c r="I420" s="2" t="s">
        <v>59</v>
      </c>
      <c r="J420" s="4">
        <v>3</v>
      </c>
      <c r="K420" s="5">
        <v>8870.94</v>
      </c>
      <c r="L420" s="6">
        <v>0</v>
      </c>
      <c r="M420" s="5">
        <v>26612.82</v>
      </c>
      <c r="N420" s="5">
        <v>10731.78</v>
      </c>
      <c r="O420" s="5">
        <v>59.97</v>
      </c>
      <c r="P420" s="2" t="s">
        <v>32</v>
      </c>
    </row>
    <row r="421" spans="1:16" ht="15" customHeight="1" x14ac:dyDescent="0.25">
      <c r="A421" s="2" t="s">
        <v>709</v>
      </c>
      <c r="B421" s="3">
        <v>45511</v>
      </c>
      <c r="C421" s="2" t="s">
        <v>189</v>
      </c>
      <c r="D421" s="2" t="s">
        <v>182</v>
      </c>
      <c r="E421" s="2" t="s">
        <v>19</v>
      </c>
      <c r="F421" s="2" t="s">
        <v>56</v>
      </c>
      <c r="G421" s="2" t="s">
        <v>335</v>
      </c>
      <c r="H421" s="2" t="s">
        <v>336</v>
      </c>
      <c r="I421" s="2" t="s">
        <v>52</v>
      </c>
      <c r="J421" s="4">
        <v>5</v>
      </c>
      <c r="K421" s="5">
        <v>1524.52</v>
      </c>
      <c r="L421" s="6">
        <v>0</v>
      </c>
      <c r="M421" s="5">
        <v>7622.6</v>
      </c>
      <c r="N421" s="5">
        <v>3123.5</v>
      </c>
      <c r="O421" s="5">
        <v>214.58</v>
      </c>
      <c r="P421" s="2" t="s">
        <v>24</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showGridLines="0" zoomScaleNormal="100" workbookViewId="0">
      <selection activeCell="M8" sqref="M8"/>
    </sheetView>
  </sheetViews>
  <sheetFormatPr defaultColWidth="8.7109375" defaultRowHeight="15" x14ac:dyDescent="0.25"/>
  <cols>
    <col min="2" max="9" width="12" customWidth="1"/>
  </cols>
  <sheetData>
    <row r="1" spans="1:10" ht="31.5" customHeight="1" x14ac:dyDescent="0.25">
      <c r="A1" s="22" t="s">
        <v>748</v>
      </c>
      <c r="B1" s="22"/>
      <c r="C1" s="22"/>
      <c r="D1" s="22"/>
      <c r="E1" s="22"/>
      <c r="F1" s="22"/>
      <c r="G1" s="22"/>
      <c r="H1" s="22"/>
      <c r="I1" s="22"/>
      <c r="J1" s="22"/>
    </row>
    <row r="3" spans="1:10" ht="15" customHeight="1" x14ac:dyDescent="0.25">
      <c r="B3" s="18" t="s">
        <v>712</v>
      </c>
      <c r="C3" s="18"/>
      <c r="E3" s="18" t="s">
        <v>713</v>
      </c>
      <c r="F3" s="18"/>
      <c r="H3" s="18" t="s">
        <v>749</v>
      </c>
      <c r="I3" s="18"/>
    </row>
    <row r="4" spans="1:10" ht="30" customHeight="1" x14ac:dyDescent="0.25">
      <c r="B4" s="19">
        <f>SUM('Raw Data'!M2:M421)</f>
        <v>5800375.9300000016</v>
      </c>
      <c r="C4" s="19"/>
      <c r="E4" s="19">
        <f>SUM('Raw Data'!N2:N421)</f>
        <v>1656165.5800000008</v>
      </c>
      <c r="F4" s="19"/>
      <c r="H4" s="20">
        <f>COUNTA('Raw Data'!A2:A421)</f>
        <v>420</v>
      </c>
      <c r="I4" s="20"/>
    </row>
    <row r="5" spans="1:10" ht="15" customHeight="1" x14ac:dyDescent="0.25">
      <c r="B5" s="19"/>
      <c r="C5" s="19"/>
      <c r="E5" s="19"/>
      <c r="F5" s="19"/>
      <c r="H5" s="20"/>
      <c r="I5" s="20"/>
    </row>
    <row r="7" spans="1:10" ht="15" customHeight="1" x14ac:dyDescent="0.25">
      <c r="B7" s="18" t="s">
        <v>717</v>
      </c>
      <c r="C7" s="18"/>
      <c r="E7" s="18" t="s">
        <v>724</v>
      </c>
      <c r="F7" s="18"/>
      <c r="H7" s="18" t="s">
        <v>714</v>
      </c>
      <c r="I7" s="18"/>
    </row>
    <row r="8" spans="1:10" ht="30" customHeight="1" x14ac:dyDescent="0.25">
      <c r="B8" s="19">
        <f>B4/H4</f>
        <v>13810.418880952384</v>
      </c>
      <c r="C8" s="19"/>
      <c r="E8" s="20">
        <f>SUMPRODUCT(1/COUNTIF('Raw Data'!C2:C421,'Raw Data'!C2:C421))</f>
        <v>80.000000000000128</v>
      </c>
      <c r="F8" s="20"/>
      <c r="H8" s="21">
        <f>E4/B4</f>
        <v>0.28552728305663461</v>
      </c>
      <c r="I8" s="21"/>
    </row>
    <row r="9" spans="1:10" ht="15" customHeight="1" x14ac:dyDescent="0.25">
      <c r="B9" s="19"/>
      <c r="C9" s="19"/>
      <c r="E9" s="20"/>
      <c r="F9" s="20"/>
      <c r="H9" s="21"/>
      <c r="I9" s="21"/>
    </row>
    <row r="11" spans="1:10" ht="15" customHeight="1" x14ac:dyDescent="0.25">
      <c r="A11" s="12" t="s">
        <v>750</v>
      </c>
    </row>
  </sheetData>
  <mergeCells count="13">
    <mergeCell ref="A1:J1"/>
    <mergeCell ref="B3:C3"/>
    <mergeCell ref="E3:F3"/>
    <mergeCell ref="H3:I3"/>
    <mergeCell ref="B4:C5"/>
    <mergeCell ref="E4:F5"/>
    <mergeCell ref="H4:I5"/>
    <mergeCell ref="B7:C7"/>
    <mergeCell ref="E7:F7"/>
    <mergeCell ref="H7:I7"/>
    <mergeCell ref="B8:C9"/>
    <mergeCell ref="E8:F9"/>
    <mergeCell ref="H8:I9"/>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showGridLines="0" zoomScaleNormal="100" workbookViewId="0">
      <selection activeCell="G28" sqref="G28"/>
    </sheetView>
  </sheetViews>
  <sheetFormatPr defaultColWidth="8.7109375" defaultRowHeight="15" x14ac:dyDescent="0.25"/>
  <cols>
    <col min="1" max="1" width="18" customWidth="1"/>
    <col min="2" max="3" width="15" customWidth="1"/>
    <col min="4" max="4" width="16" customWidth="1"/>
  </cols>
  <sheetData>
    <row r="1" spans="1:5" ht="27.75" customHeight="1" x14ac:dyDescent="0.25">
      <c r="A1" s="22" t="s">
        <v>730</v>
      </c>
      <c r="B1" s="22"/>
      <c r="C1" s="22"/>
      <c r="D1" s="22"/>
      <c r="E1" s="22"/>
    </row>
    <row r="3" spans="1:5" ht="15.75" customHeight="1" x14ac:dyDescent="0.25">
      <c r="A3" s="7" t="s">
        <v>731</v>
      </c>
    </row>
    <row r="4" spans="1:5" ht="15" customHeight="1" x14ac:dyDescent="0.25">
      <c r="A4" s="8" t="s">
        <v>732</v>
      </c>
      <c r="B4" s="8" t="s">
        <v>712</v>
      </c>
      <c r="C4" s="8" t="s">
        <v>713</v>
      </c>
      <c r="D4" s="8" t="s">
        <v>716</v>
      </c>
    </row>
    <row r="5" spans="1:5" ht="15" customHeight="1" x14ac:dyDescent="0.25">
      <c r="A5" s="2" t="s">
        <v>733</v>
      </c>
      <c r="B5" s="5">
        <f>SUMPRODUCT(('Raw Data'!$B$2:$B$421&gt;=DATE(2024,1,1))*('Raw Data'!$B$2:$B$421&lt;DATE(2024,2,1)*(1))*'Raw Data'!$M$2:$M$421)</f>
        <v>489471.14999999991</v>
      </c>
      <c r="C5" s="5">
        <f>SUMPRODUCT(('Raw Data'!$B$2:$B$421&gt;=DATE(2024,1,1))*('Raw Data'!$B$2:$B$421&lt;DATE(2024,2,1))*'Raw Data'!$N$2:$N$421)</f>
        <v>143184.66999999998</v>
      </c>
      <c r="D5" s="4">
        <f>SUMPRODUCT(('Raw Data'!$B$2:$B$421&gt;=DATE(2024,1,1))*('Raw Data'!$B$2:$B$421&lt;DATE(2024,2,1)))</f>
        <v>33</v>
      </c>
    </row>
    <row r="6" spans="1:5" ht="15" customHeight="1" x14ac:dyDescent="0.25">
      <c r="A6" s="2" t="s">
        <v>734</v>
      </c>
      <c r="B6" s="5">
        <f>SUMPRODUCT(('Raw Data'!$B$2:$B$421&gt;=DATE(2024,2,1))*('Raw Data'!$B$2:$B$421&lt;DATE(2024,3,1)*(1))*'Raw Data'!$M$2:$M$421)</f>
        <v>360307.13</v>
      </c>
      <c r="C6" s="5">
        <f>SUMPRODUCT(('Raw Data'!$B$2:$B$421&gt;=DATE(2024,2,1))*('Raw Data'!$B$2:$B$421&lt;DATE(2024,3,1))*'Raw Data'!$N$2:$N$421)</f>
        <v>100822.97</v>
      </c>
      <c r="D6" s="4">
        <f>SUMPRODUCT(('Raw Data'!$B$2:$B$421&gt;=DATE(2024,2,1))*('Raw Data'!$B$2:$B$421&lt;DATE(2024,3,1)))</f>
        <v>32</v>
      </c>
    </row>
    <row r="7" spans="1:5" ht="15" customHeight="1" x14ac:dyDescent="0.25">
      <c r="A7" s="2" t="s">
        <v>735</v>
      </c>
      <c r="B7" s="5">
        <f>SUMPRODUCT(('Raw Data'!$B$2:$B$421&gt;=DATE(2024,3,1))*('Raw Data'!$B$2:$B$421&lt;DATE(2024,4,1)*(1))*'Raw Data'!$M$2:$M$421)</f>
        <v>786759.57000000018</v>
      </c>
      <c r="C7" s="5">
        <f>SUMPRODUCT(('Raw Data'!$B$2:$B$421&gt;=DATE(2024,3,1))*('Raw Data'!$B$2:$B$421&lt;DATE(2024,4,1))*'Raw Data'!$N$2:$N$421)</f>
        <v>239888.87</v>
      </c>
      <c r="D7" s="4">
        <f>SUMPRODUCT(('Raw Data'!$B$2:$B$421&gt;=DATE(2024,3,1))*('Raw Data'!$B$2:$B$421&lt;DATE(2024,4,1)))</f>
        <v>39</v>
      </c>
    </row>
    <row r="8" spans="1:5" ht="15" customHeight="1" x14ac:dyDescent="0.25">
      <c r="A8" s="2" t="s">
        <v>736</v>
      </c>
      <c r="B8" s="5">
        <f>SUMPRODUCT(('Raw Data'!$B$2:$B$421&gt;=DATE(2024,4,1))*('Raw Data'!$B$2:$B$421&lt;DATE(2024,5,1)*(1))*'Raw Data'!$M$2:$M$421)</f>
        <v>507548.51000000007</v>
      </c>
      <c r="C8" s="5">
        <f>SUMPRODUCT(('Raw Data'!$B$2:$B$421&gt;=DATE(2024,4,1))*('Raw Data'!$B$2:$B$421&lt;DATE(2024,5,1))*'Raw Data'!$N$2:$N$421)</f>
        <v>160326.79</v>
      </c>
      <c r="D8" s="4">
        <f>SUMPRODUCT(('Raw Data'!$B$2:$B$421&gt;=DATE(2024,4,1))*('Raw Data'!$B$2:$B$421&lt;DATE(2024,5,1)))</f>
        <v>36</v>
      </c>
    </row>
    <row r="9" spans="1:5" ht="15" customHeight="1" x14ac:dyDescent="0.25">
      <c r="A9" s="2" t="s">
        <v>737</v>
      </c>
      <c r="B9" s="5">
        <f>SUMPRODUCT(('Raw Data'!$B$2:$B$421&gt;=DATE(2024,5,1))*('Raw Data'!$B$2:$B$421&lt;DATE(2024,6,1)*(1))*'Raw Data'!$M$2:$M$421)</f>
        <v>425565.43000000011</v>
      </c>
      <c r="C9" s="5">
        <f>SUMPRODUCT(('Raw Data'!$B$2:$B$421&gt;=DATE(2024,5,1))*('Raw Data'!$B$2:$B$421&lt;DATE(2024,6,1))*'Raw Data'!$N$2:$N$421)</f>
        <v>114183.99</v>
      </c>
      <c r="D9" s="4">
        <f>SUMPRODUCT(('Raw Data'!$B$2:$B$421&gt;=DATE(2024,5,1))*('Raw Data'!$B$2:$B$421&lt;DATE(2024,6,1)))</f>
        <v>35</v>
      </c>
    </row>
    <row r="10" spans="1:5" ht="15" customHeight="1" x14ac:dyDescent="0.25">
      <c r="A10" s="2" t="s">
        <v>738</v>
      </c>
      <c r="B10" s="5">
        <f>SUMPRODUCT(('Raw Data'!$B$2:$B$421&gt;=DATE(2024,6,1))*('Raw Data'!$B$2:$B$421&lt;DATE(2024,7,1)*(1))*'Raw Data'!$M$2:$M$421)</f>
        <v>543259.01</v>
      </c>
      <c r="C10" s="5">
        <f>SUMPRODUCT(('Raw Data'!$B$2:$B$421&gt;=DATE(2024,6,1))*('Raw Data'!$B$2:$B$421&lt;DATE(2024,7,1))*'Raw Data'!$N$2:$N$421)</f>
        <v>151583.36999999997</v>
      </c>
      <c r="D10" s="4">
        <f>SUMPRODUCT(('Raw Data'!$B$2:$B$421&gt;=DATE(2024,6,1))*('Raw Data'!$B$2:$B$421&lt;DATE(2024,7,1)))</f>
        <v>38</v>
      </c>
    </row>
    <row r="11" spans="1:5" ht="15" customHeight="1" x14ac:dyDescent="0.25">
      <c r="A11" s="2" t="s">
        <v>739</v>
      </c>
      <c r="B11" s="5">
        <f>SUMPRODUCT(('Raw Data'!$B$2:$B$421&gt;=DATE(2024,7,1))*('Raw Data'!$B$2:$B$421&lt;DATE(2024,8,1)*(1))*'Raw Data'!$M$2:$M$421)</f>
        <v>286633</v>
      </c>
      <c r="C11" s="5">
        <f>SUMPRODUCT(('Raw Data'!$B$2:$B$421&gt;=DATE(2024,7,1))*('Raw Data'!$B$2:$B$421&lt;DATE(2024,8,1))*'Raw Data'!$N$2:$N$421)</f>
        <v>71601.459999999977</v>
      </c>
      <c r="D11" s="4">
        <f>SUMPRODUCT(('Raw Data'!$B$2:$B$421&gt;=DATE(2024,7,1))*('Raw Data'!$B$2:$B$421&lt;DATE(2024,8,1)))</f>
        <v>26</v>
      </c>
    </row>
    <row r="12" spans="1:5" ht="15" customHeight="1" x14ac:dyDescent="0.25">
      <c r="A12" s="2" t="s">
        <v>740</v>
      </c>
      <c r="B12" s="5">
        <f>SUMPRODUCT(('Raw Data'!$B$2:$B$421&gt;=DATE(2024,8,1))*('Raw Data'!$B$2:$B$421&lt;DATE(2024,9,1)*(1))*'Raw Data'!$M$2:$M$421)</f>
        <v>359755.51</v>
      </c>
      <c r="C12" s="5">
        <f>SUMPRODUCT(('Raw Data'!$B$2:$B$421&gt;=DATE(2024,8,1))*('Raw Data'!$B$2:$B$421&lt;DATE(2024,9,1))*'Raw Data'!$N$2:$N$421)</f>
        <v>107678</v>
      </c>
      <c r="D12" s="4">
        <f>SUMPRODUCT(('Raw Data'!$B$2:$B$421&gt;=DATE(2024,8,1))*('Raw Data'!$B$2:$B$421&lt;DATE(2024,9,1)))</f>
        <v>33</v>
      </c>
    </row>
    <row r="13" spans="1:5" ht="15" customHeight="1" x14ac:dyDescent="0.25">
      <c r="A13" s="2" t="s">
        <v>741</v>
      </c>
      <c r="B13" s="5">
        <f>SUMPRODUCT(('Raw Data'!$B$2:$B$421&gt;=DATE(2024,9,1))*('Raw Data'!$B$2:$B$421&lt;DATE(2024,10,1)*(1))*'Raw Data'!$M$2:$M$421)</f>
        <v>534174.02000000014</v>
      </c>
      <c r="C13" s="5">
        <f>SUMPRODUCT(('Raw Data'!$B$2:$B$421&gt;=DATE(2024,9,1))*('Raw Data'!$B$2:$B$421&lt;DATE(2024,10,1))*'Raw Data'!$N$2:$N$421)</f>
        <v>141254.59999999998</v>
      </c>
      <c r="D13" s="4">
        <f>SUMPRODUCT(('Raw Data'!$B$2:$B$421&gt;=DATE(2024,9,1))*('Raw Data'!$B$2:$B$421&lt;DATE(2024,10,1)))</f>
        <v>32</v>
      </c>
    </row>
    <row r="14" spans="1:5" ht="15" customHeight="1" x14ac:dyDescent="0.25">
      <c r="A14" s="2" t="s">
        <v>742</v>
      </c>
      <c r="B14" s="5">
        <f>SUMPRODUCT(('Raw Data'!$B$2:$B$421&gt;=DATE(2024,10,1))*('Raw Data'!$B$2:$B$421&lt;DATE(2024,11,1)*(1))*'Raw Data'!$M$2:$M$421)</f>
        <v>447535.9200000001</v>
      </c>
      <c r="C14" s="5">
        <f>SUMPRODUCT(('Raw Data'!$B$2:$B$421&gt;=DATE(2024,10,1))*('Raw Data'!$B$2:$B$421&lt;DATE(2024,11,1))*'Raw Data'!$N$2:$N$421)</f>
        <v>122887.88999999998</v>
      </c>
      <c r="D14" s="4">
        <f>SUMPRODUCT(('Raw Data'!$B$2:$B$421&gt;=DATE(2024,10,1))*('Raw Data'!$B$2:$B$421&lt;DATE(2024,11,1)))</f>
        <v>37</v>
      </c>
    </row>
    <row r="15" spans="1:5" ht="15" customHeight="1" x14ac:dyDescent="0.25">
      <c r="A15" s="2" t="s">
        <v>743</v>
      </c>
      <c r="B15" s="5">
        <f>SUMPRODUCT(('Raw Data'!$B$2:$B$421&gt;=DATE(2024,11,1))*('Raw Data'!$B$2:$B$421&lt;DATE(2024,12,1)*(1))*'Raw Data'!$M$2:$M$421)</f>
        <v>372943.95000000007</v>
      </c>
      <c r="C15" s="5">
        <f>SUMPRODUCT(('Raw Data'!$B$2:$B$421&gt;=DATE(2024,11,1))*('Raw Data'!$B$2:$B$421&lt;DATE(2024,12,1))*'Raw Data'!$N$2:$N$421)</f>
        <v>113921.31</v>
      </c>
      <c r="D15" s="4">
        <f>SUMPRODUCT(('Raw Data'!$B$2:$B$421&gt;=DATE(2024,11,1))*('Raw Data'!$B$2:$B$421&lt;DATE(2024,12,1)))</f>
        <v>30</v>
      </c>
    </row>
    <row r="16" spans="1:5" ht="15" customHeight="1" x14ac:dyDescent="0.25">
      <c r="A16" s="2" t="s">
        <v>744</v>
      </c>
      <c r="B16" s="5">
        <f>SUMPRODUCT(('Raw Data'!$B$2:$B$421&gt;=DATE(2024,12,1))*('Raw Data'!$B$2:$B$421&lt;DATE(2025,1,1))*'Raw Data'!$M$2:$M$421)</f>
        <v>686422.73</v>
      </c>
      <c r="C16" s="5">
        <f>SUMPRODUCT(('Raw Data'!$B$2:$B$421&gt;=DATE(2024,12,1))*('Raw Data'!$B$2:$B$421&lt;DATE(2025,1,1))*'Raw Data'!$N$2:$N$421)</f>
        <v>188831.65999999997</v>
      </c>
      <c r="D16" s="4">
        <f>SUMPRODUCT(('Raw Data'!$B$2:$B$421&gt;=DATE(2024,12,1))*('Raw Data'!$B$2:$B$421&lt;DATE(2025,1,1)))</f>
        <v>49</v>
      </c>
    </row>
    <row r="19" spans="1:4" ht="15.75" customHeight="1" x14ac:dyDescent="0.25">
      <c r="A19" s="7" t="s">
        <v>745</v>
      </c>
    </row>
    <row r="20" spans="1:4" ht="15" customHeight="1" x14ac:dyDescent="0.25">
      <c r="A20" s="8" t="s">
        <v>746</v>
      </c>
      <c r="B20" s="8" t="s">
        <v>712</v>
      </c>
      <c r="C20" s="8" t="s">
        <v>716</v>
      </c>
      <c r="D20" s="8" t="s">
        <v>747</v>
      </c>
    </row>
    <row r="21" spans="1:4" ht="15" customHeight="1" x14ac:dyDescent="0.25">
      <c r="A21" s="2" t="s">
        <v>24</v>
      </c>
      <c r="B21" s="5">
        <f>SUMIFS('Raw Data'!$M$2:$M$421,'Raw Data'!$P$2:$P$421,A21)</f>
        <v>1031084.7099999996</v>
      </c>
      <c r="C21" s="4">
        <f>COUNTIFS('Raw Data'!$P$2:$P$421,A21)</f>
        <v>75</v>
      </c>
      <c r="D21" s="6">
        <f>IFERROR(C21/420,0)</f>
        <v>0.17857142857142858</v>
      </c>
    </row>
    <row r="22" spans="1:4" ht="15" customHeight="1" x14ac:dyDescent="0.25">
      <c r="A22" s="2" t="s">
        <v>73</v>
      </c>
      <c r="B22" s="5">
        <f>SUMIFS('Raw Data'!$M$2:$M$421,'Raw Data'!$P$2:$P$421,A22)</f>
        <v>1107207.8800000001</v>
      </c>
      <c r="C22" s="4">
        <f>COUNTIFS('Raw Data'!$P$2:$P$421,A22)</f>
        <v>74</v>
      </c>
      <c r="D22" s="6">
        <f>IFERROR(C22/420,0)</f>
        <v>0.1761904761904762</v>
      </c>
    </row>
    <row r="23" spans="1:4" ht="15" customHeight="1" x14ac:dyDescent="0.25">
      <c r="A23" s="2" t="s">
        <v>40</v>
      </c>
      <c r="B23" s="5">
        <f>SUMIFS('Raw Data'!$M$2:$M$421,'Raw Data'!$P$2:$P$421,A23)</f>
        <v>1184810.1499999999</v>
      </c>
      <c r="C23" s="4">
        <f>COUNTIFS('Raw Data'!$P$2:$P$421,A23)</f>
        <v>88</v>
      </c>
      <c r="D23" s="6">
        <f>IFERROR(C23/420,0)</f>
        <v>0.20952380952380953</v>
      </c>
    </row>
    <row r="24" spans="1:4" ht="15" customHeight="1" x14ac:dyDescent="0.25">
      <c r="A24" s="2" t="s">
        <v>88</v>
      </c>
      <c r="B24" s="5">
        <f>SUMIFS('Raw Data'!$M$2:$M$421,'Raw Data'!$P$2:$P$421,A24)</f>
        <v>1115719.1500000004</v>
      </c>
      <c r="C24" s="4">
        <f>COUNTIFS('Raw Data'!$P$2:$P$421,A24)</f>
        <v>85</v>
      </c>
      <c r="D24" s="6">
        <f>IFERROR(C24/420,0)</f>
        <v>0.20238095238095238</v>
      </c>
    </row>
    <row r="25" spans="1:4" ht="15" customHeight="1" x14ac:dyDescent="0.25">
      <c r="A25" s="2" t="s">
        <v>32</v>
      </c>
      <c r="B25" s="5">
        <f>SUMIFS('Raw Data'!$M$2:$M$421,'Raw Data'!$P$2:$P$421,A25)</f>
        <v>1361554.0399999998</v>
      </c>
      <c r="C25" s="4">
        <f>COUNTIFS('Raw Data'!$P$2:$P$421,A25)</f>
        <v>98</v>
      </c>
      <c r="D25" s="6">
        <f>IFERROR(C25/420,0)</f>
        <v>0.23333333333333334</v>
      </c>
    </row>
  </sheetData>
  <mergeCells count="1">
    <mergeCell ref="A1:E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showGridLines="0" zoomScaleNormal="100" workbookViewId="0">
      <selection activeCell="A33" sqref="A33"/>
    </sheetView>
  </sheetViews>
  <sheetFormatPr defaultColWidth="8.7109375" defaultRowHeight="15" x14ac:dyDescent="0.25"/>
  <cols>
    <col min="1" max="1" width="18" customWidth="1"/>
    <col min="2" max="2" width="26" customWidth="1"/>
    <col min="3" max="3" width="14" customWidth="1"/>
    <col min="4" max="4" width="12" customWidth="1"/>
    <col min="5" max="6" width="15" customWidth="1"/>
    <col min="7" max="7" width="16" customWidth="1"/>
  </cols>
  <sheetData>
    <row r="1" spans="1:7" ht="27.75" customHeight="1" x14ac:dyDescent="0.25">
      <c r="A1" s="22" t="s">
        <v>722</v>
      </c>
      <c r="B1" s="22"/>
      <c r="C1" s="22"/>
      <c r="D1" s="22"/>
      <c r="E1" s="22"/>
      <c r="F1" s="22"/>
      <c r="G1" s="22"/>
    </row>
    <row r="3" spans="1:7" ht="15.75" customHeight="1" x14ac:dyDescent="0.25">
      <c r="A3" s="7" t="s">
        <v>723</v>
      </c>
    </row>
    <row r="4" spans="1:7" ht="15" customHeight="1" x14ac:dyDescent="0.25">
      <c r="A4" s="8" t="s">
        <v>4</v>
      </c>
      <c r="B4" s="8" t="s">
        <v>712</v>
      </c>
      <c r="C4" s="8" t="s">
        <v>713</v>
      </c>
      <c r="D4" s="8" t="s">
        <v>716</v>
      </c>
      <c r="E4" s="8" t="s">
        <v>724</v>
      </c>
      <c r="F4" s="8" t="s">
        <v>717</v>
      </c>
    </row>
    <row r="5" spans="1:7" ht="15" customHeight="1" x14ac:dyDescent="0.25">
      <c r="A5" s="2" t="s">
        <v>19</v>
      </c>
      <c r="B5" s="5">
        <f>SUMIFS('Raw Data'!$M$2:$M$421,'Raw Data'!$E$2:$E$421,A5)</f>
        <v>3110524.1799999983</v>
      </c>
      <c r="C5" s="5">
        <f>SUMIFS('Raw Data'!$N$2:$N$421,'Raw Data'!$E$2:$E$421,A5)</f>
        <v>873137.24999999965</v>
      </c>
      <c r="D5" s="4">
        <f>COUNTIFS('Raw Data'!$E$2:$E$421,A5)</f>
        <v>225</v>
      </c>
      <c r="E5" s="4">
        <f>SUMPRODUCT(('Raw Data'!$E$2:$E$421=A5)/COUNTIFS('Raw Data'!$C$2:$C$421,'Raw Data'!$C$2:$C$421&amp;""))</f>
        <v>41.000000000000043</v>
      </c>
      <c r="F5" s="5">
        <f>IFERROR(B5/D5,0)</f>
        <v>13824.551911111104</v>
      </c>
    </row>
    <row r="6" spans="1:7" ht="15" customHeight="1" x14ac:dyDescent="0.25">
      <c r="A6" s="2" t="s">
        <v>113</v>
      </c>
      <c r="B6" s="5">
        <f>SUMIFS('Raw Data'!$M$2:$M$421,'Raw Data'!$E$2:$E$421,A6)</f>
        <v>1374137.5500000003</v>
      </c>
      <c r="C6" s="5">
        <f>SUMIFS('Raw Data'!$N$2:$N$421,'Raw Data'!$E$2:$E$421,A6)</f>
        <v>383525.64999999997</v>
      </c>
      <c r="D6" s="4">
        <f>COUNTIFS('Raw Data'!$E$2:$E$421,A6)</f>
        <v>90</v>
      </c>
      <c r="E6" s="4">
        <f>SUMPRODUCT(('Raw Data'!$E$2:$E$421=A6)/COUNTIFS('Raw Data'!$C$2:$C$421,'Raw Data'!$C$2:$C$421&amp;""))</f>
        <v>17</v>
      </c>
      <c r="F6" s="5">
        <f>IFERROR(B6/D6,0)</f>
        <v>15268.195000000003</v>
      </c>
    </row>
    <row r="7" spans="1:7" ht="15" customHeight="1" x14ac:dyDescent="0.25">
      <c r="A7" s="2" t="s">
        <v>28</v>
      </c>
      <c r="B7" s="5">
        <f>SUMIFS('Raw Data'!$M$2:$M$421,'Raw Data'!$E$2:$E$421,A7)</f>
        <v>1315714.2</v>
      </c>
      <c r="C7" s="5">
        <f>SUMIFS('Raw Data'!$N$2:$N$421,'Raw Data'!$E$2:$E$421,A7)</f>
        <v>399502.68000000017</v>
      </c>
      <c r="D7" s="4">
        <f>COUNTIFS('Raw Data'!$E$2:$E$421,A7)</f>
        <v>105</v>
      </c>
      <c r="E7" s="4">
        <f>SUMPRODUCT(('Raw Data'!$E$2:$E$421=A7)/COUNTIFS('Raw Data'!$C$2:$C$421,'Raw Data'!$C$2:$C$421&amp;""))</f>
        <v>21.999999999999975</v>
      </c>
      <c r="F7" s="5">
        <f>IFERROR(B7/D7,0)</f>
        <v>12530.611428571428</v>
      </c>
    </row>
    <row r="10" spans="1:7" ht="15.75" customHeight="1" x14ac:dyDescent="0.25">
      <c r="A10" s="7" t="s">
        <v>725</v>
      </c>
    </row>
    <row r="11" spans="1:7" ht="15" customHeight="1" x14ac:dyDescent="0.25">
      <c r="A11" s="8" t="s">
        <v>5</v>
      </c>
      <c r="B11" s="8" t="s">
        <v>712</v>
      </c>
      <c r="C11" s="8" t="s">
        <v>713</v>
      </c>
      <c r="D11" s="8" t="s">
        <v>716</v>
      </c>
      <c r="E11" s="8" t="s">
        <v>726</v>
      </c>
    </row>
    <row r="12" spans="1:7" ht="15" customHeight="1" x14ac:dyDescent="0.25">
      <c r="A12" s="2" t="s">
        <v>29</v>
      </c>
      <c r="B12" s="5">
        <f>SUMIFS('Raw Data'!$M$2:$M$421,'Raw Data'!$F$2:$F$421,A12)</f>
        <v>1068826.7000000002</v>
      </c>
      <c r="C12" s="5">
        <f>SUMIFS('Raw Data'!$N$2:$N$421,'Raw Data'!$F$2:$F$421,A12)</f>
        <v>320525.12000000005</v>
      </c>
      <c r="D12" s="4">
        <f>COUNTIFS('Raw Data'!$F$2:$F$421,A12)</f>
        <v>83</v>
      </c>
      <c r="E12" s="6">
        <f>AVERAGEIFS('Raw Data'!$L$2:$L$421,'Raw Data'!$F$2:$F$421,A12)</f>
        <v>6.445783132530121E-2</v>
      </c>
    </row>
    <row r="13" spans="1:7" ht="15" customHeight="1" x14ac:dyDescent="0.25">
      <c r="A13" s="2" t="s">
        <v>56</v>
      </c>
      <c r="B13" s="5">
        <f>SUMIFS('Raw Data'!$M$2:$M$421,'Raw Data'!$F$2:$F$421,A13)</f>
        <v>868560.03999999992</v>
      </c>
      <c r="C13" s="5">
        <f>SUMIFS('Raw Data'!$N$2:$N$421,'Raw Data'!$F$2:$F$421,A13)</f>
        <v>240178.67999999996</v>
      </c>
      <c r="D13" s="4">
        <f>COUNTIFS('Raw Data'!$F$2:$F$421,A13)</f>
        <v>59</v>
      </c>
      <c r="E13" s="6">
        <f>AVERAGEIFS('Raw Data'!$L$2:$L$421,'Raw Data'!$F$2:$F$421,A13)</f>
        <v>7.7966101694915246E-2</v>
      </c>
    </row>
    <row r="14" spans="1:7" ht="15" customHeight="1" x14ac:dyDescent="0.25">
      <c r="A14" s="2" t="s">
        <v>20</v>
      </c>
      <c r="B14" s="5">
        <f>SUMIFS('Raw Data'!$M$2:$M$421,'Raw Data'!$F$2:$F$421,A14)</f>
        <v>1147516.2999999998</v>
      </c>
      <c r="C14" s="5">
        <f>SUMIFS('Raw Data'!$N$2:$N$421,'Raw Data'!$F$2:$F$421,A14)</f>
        <v>328285.21000000008</v>
      </c>
      <c r="D14" s="4">
        <f>COUNTIFS('Raw Data'!$F$2:$F$421,A14)</f>
        <v>85</v>
      </c>
      <c r="E14" s="6">
        <f>AVERAGEIFS('Raw Data'!$L$2:$L$421,'Raw Data'!$F$2:$F$421,A14)</f>
        <v>6.176470588235293E-2</v>
      </c>
    </row>
    <row r="15" spans="1:7" ht="15" customHeight="1" x14ac:dyDescent="0.25">
      <c r="A15" s="2" t="s">
        <v>36</v>
      </c>
      <c r="B15" s="5">
        <f>SUMIFS('Raw Data'!$M$2:$M$421,'Raw Data'!$F$2:$F$421,A15)</f>
        <v>1453113.7499999998</v>
      </c>
      <c r="C15" s="5">
        <f>SUMIFS('Raw Data'!$N$2:$N$421,'Raw Data'!$F$2:$F$421,A15)</f>
        <v>393107.84999999992</v>
      </c>
      <c r="D15" s="4">
        <f>COUNTIFS('Raw Data'!$F$2:$F$421,A15)</f>
        <v>100</v>
      </c>
      <c r="E15" s="6">
        <f>AVERAGEIFS('Raw Data'!$L$2:$L$421,'Raw Data'!$F$2:$F$421,A15)</f>
        <v>8.300000000000006E-2</v>
      </c>
    </row>
    <row r="16" spans="1:7" ht="15" customHeight="1" x14ac:dyDescent="0.25">
      <c r="A16" s="2" t="s">
        <v>107</v>
      </c>
      <c r="B16" s="5">
        <f>SUMIFS('Raw Data'!$M$2:$M$421,'Raw Data'!$F$2:$F$421,A16)</f>
        <v>1262359.1400000004</v>
      </c>
      <c r="C16" s="5">
        <f>SUMIFS('Raw Data'!$N$2:$N$421,'Raw Data'!$F$2:$F$421,A16)</f>
        <v>374068.72000000003</v>
      </c>
      <c r="D16" s="4">
        <f>COUNTIFS('Raw Data'!$F$2:$F$421,A16)</f>
        <v>93</v>
      </c>
      <c r="E16" s="6">
        <f>AVERAGEIFS('Raw Data'!$L$2:$L$421,'Raw Data'!$F$2:$F$421,A16)</f>
        <v>7.9569892473118284E-2</v>
      </c>
    </row>
    <row r="19" spans="1:7" ht="15.75" customHeight="1" x14ac:dyDescent="0.25">
      <c r="A19" s="7" t="s">
        <v>727</v>
      </c>
    </row>
    <row r="20" spans="1:7" ht="15" customHeight="1" x14ac:dyDescent="0.25">
      <c r="A20" s="8" t="s">
        <v>720</v>
      </c>
      <c r="B20" s="8" t="s">
        <v>728</v>
      </c>
      <c r="C20" s="8" t="s">
        <v>4</v>
      </c>
      <c r="D20" s="8" t="s">
        <v>5</v>
      </c>
      <c r="E20" s="8" t="s">
        <v>712</v>
      </c>
      <c r="F20" s="8" t="s">
        <v>729</v>
      </c>
      <c r="G20" s="8" t="s">
        <v>717</v>
      </c>
    </row>
    <row r="21" spans="1:7" ht="15" customHeight="1" x14ac:dyDescent="0.25">
      <c r="A21" s="4">
        <v>1</v>
      </c>
      <c r="B21" s="2" t="s">
        <v>227</v>
      </c>
      <c r="C21" s="4" t="s">
        <v>113</v>
      </c>
      <c r="D21" s="4" t="s">
        <v>56</v>
      </c>
      <c r="E21" s="5">
        <f>SUMIFS('Raw Data'!$M$2:$M$421,'Raw Data'!$D$2:$D$421,B21)</f>
        <v>413327.94</v>
      </c>
      <c r="F21" s="4">
        <f>COUNTIFS('Raw Data'!$D$2:$D$421,B21)</f>
        <v>18</v>
      </c>
      <c r="G21" s="5">
        <f t="shared" ref="G21:G30" si="0">IFERROR(E21/F21,0)</f>
        <v>22962.663333333334</v>
      </c>
    </row>
    <row r="22" spans="1:7" ht="15" customHeight="1" x14ac:dyDescent="0.25">
      <c r="A22" s="4">
        <v>2</v>
      </c>
      <c r="B22" s="2" t="s">
        <v>132</v>
      </c>
      <c r="C22" s="4" t="s">
        <v>113</v>
      </c>
      <c r="D22" s="4" t="s">
        <v>20</v>
      </c>
      <c r="E22" s="5">
        <f>SUMIFS('Raw Data'!$M$2:$M$421,'Raw Data'!$D$2:$D$421,B22)</f>
        <v>201621.7</v>
      </c>
      <c r="F22" s="4">
        <f>COUNTIFS('Raw Data'!$D$2:$D$421,B22)</f>
        <v>8</v>
      </c>
      <c r="G22" s="5">
        <f t="shared" si="0"/>
        <v>25202.712500000001</v>
      </c>
    </row>
    <row r="23" spans="1:7" ht="15" customHeight="1" x14ac:dyDescent="0.25">
      <c r="A23" s="4">
        <v>3</v>
      </c>
      <c r="B23" s="2" t="s">
        <v>237</v>
      </c>
      <c r="C23" s="4" t="s">
        <v>19</v>
      </c>
      <c r="D23" s="4" t="s">
        <v>107</v>
      </c>
      <c r="E23" s="5">
        <f>SUMIFS('Raw Data'!$M$2:$M$421,'Raw Data'!$D$2:$D$421,B23)</f>
        <v>186309.84999999998</v>
      </c>
      <c r="F23" s="4">
        <f>COUNTIFS('Raw Data'!$D$2:$D$421,B23)</f>
        <v>6</v>
      </c>
      <c r="G23" s="5">
        <f t="shared" si="0"/>
        <v>31051.641666666663</v>
      </c>
    </row>
    <row r="24" spans="1:7" ht="15" customHeight="1" x14ac:dyDescent="0.25">
      <c r="A24" s="4">
        <v>4</v>
      </c>
      <c r="B24" s="2" t="s">
        <v>233</v>
      </c>
      <c r="C24" s="4" t="s">
        <v>19</v>
      </c>
      <c r="D24" s="4" t="s">
        <v>107</v>
      </c>
      <c r="E24" s="5">
        <f>SUMIFS('Raw Data'!$M$2:$M$421,'Raw Data'!$D$2:$D$421,B24)</f>
        <v>185040.5</v>
      </c>
      <c r="F24" s="4">
        <f>COUNTIFS('Raw Data'!$D$2:$D$421,B24)</f>
        <v>8</v>
      </c>
      <c r="G24" s="5">
        <f t="shared" si="0"/>
        <v>23130.0625</v>
      </c>
    </row>
    <row r="25" spans="1:7" ht="15" customHeight="1" x14ac:dyDescent="0.25">
      <c r="A25" s="4">
        <v>5</v>
      </c>
      <c r="B25" s="2" t="s">
        <v>368</v>
      </c>
      <c r="C25" s="4" t="s">
        <v>28</v>
      </c>
      <c r="D25" s="4" t="s">
        <v>29</v>
      </c>
      <c r="E25" s="5">
        <f>SUMIFS('Raw Data'!$M$2:$M$421,'Raw Data'!$D$2:$D$421,B25)</f>
        <v>164327.91</v>
      </c>
      <c r="F25" s="4">
        <f>COUNTIFS('Raw Data'!$D$2:$D$421,B25)</f>
        <v>7</v>
      </c>
      <c r="G25" s="5">
        <f t="shared" si="0"/>
        <v>23475.415714285715</v>
      </c>
    </row>
    <row r="26" spans="1:7" ht="15" customHeight="1" x14ac:dyDescent="0.25">
      <c r="A26" s="4">
        <v>6</v>
      </c>
      <c r="B26" s="2" t="s">
        <v>18</v>
      </c>
      <c r="C26" s="4" t="s">
        <v>19</v>
      </c>
      <c r="D26" s="4" t="s">
        <v>20</v>
      </c>
      <c r="E26" s="5">
        <f>SUMIFS('Raw Data'!$M$2:$M$421,'Raw Data'!$D$2:$D$421,B26)</f>
        <v>161449.92000000001</v>
      </c>
      <c r="F26" s="4">
        <f>COUNTIFS('Raw Data'!$D$2:$D$421,B26)</f>
        <v>11</v>
      </c>
      <c r="G26" s="5">
        <f t="shared" si="0"/>
        <v>14677.265454545455</v>
      </c>
    </row>
    <row r="27" spans="1:7" ht="15" customHeight="1" x14ac:dyDescent="0.25">
      <c r="A27" s="4">
        <v>7</v>
      </c>
      <c r="B27" s="2" t="s">
        <v>165</v>
      </c>
      <c r="C27" s="4" t="s">
        <v>19</v>
      </c>
      <c r="D27" s="4" t="s">
        <v>36</v>
      </c>
      <c r="E27" s="5">
        <f>SUMIFS('Raw Data'!$M$2:$M$421,'Raw Data'!$D$2:$D$421,B27)</f>
        <v>156368.39000000001</v>
      </c>
      <c r="F27" s="4">
        <f>COUNTIFS('Raw Data'!$D$2:$D$421,B27)</f>
        <v>9</v>
      </c>
      <c r="G27" s="5">
        <f t="shared" si="0"/>
        <v>17374.265555555558</v>
      </c>
    </row>
    <row r="28" spans="1:7" ht="15" customHeight="1" x14ac:dyDescent="0.25">
      <c r="A28" s="4">
        <v>8</v>
      </c>
      <c r="B28" s="2" t="s">
        <v>94</v>
      </c>
      <c r="C28" s="4" t="s">
        <v>28</v>
      </c>
      <c r="D28" s="4" t="s">
        <v>20</v>
      </c>
      <c r="E28" s="5">
        <f>SUMIFS('Raw Data'!$M$2:$M$421,'Raw Data'!$D$2:$D$421,B28)</f>
        <v>155344.72000000003</v>
      </c>
      <c r="F28" s="4">
        <f>COUNTIFS('Raw Data'!$D$2:$D$421,B28)</f>
        <v>8</v>
      </c>
      <c r="G28" s="5">
        <f t="shared" si="0"/>
        <v>19418.090000000004</v>
      </c>
    </row>
    <row r="29" spans="1:7" ht="15" customHeight="1" x14ac:dyDescent="0.25">
      <c r="A29" s="4">
        <v>9</v>
      </c>
      <c r="B29" s="2" t="s">
        <v>200</v>
      </c>
      <c r="C29" s="4" t="s">
        <v>19</v>
      </c>
      <c r="D29" s="4" t="s">
        <v>36</v>
      </c>
      <c r="E29" s="5">
        <f>SUMIFS('Raw Data'!$M$2:$M$421,'Raw Data'!$D$2:$D$421,B29)</f>
        <v>144391.63000000003</v>
      </c>
      <c r="F29" s="4">
        <f>COUNTIFS('Raw Data'!$D$2:$D$421,B29)</f>
        <v>12</v>
      </c>
      <c r="G29" s="5">
        <f t="shared" si="0"/>
        <v>12032.635833333336</v>
      </c>
    </row>
    <row r="30" spans="1:7" ht="15" customHeight="1" x14ac:dyDescent="0.25">
      <c r="A30" s="4">
        <v>10</v>
      </c>
      <c r="B30" s="2" t="s">
        <v>137</v>
      </c>
      <c r="C30" s="4" t="s">
        <v>113</v>
      </c>
      <c r="D30" s="4" t="s">
        <v>29</v>
      </c>
      <c r="E30" s="5">
        <f>SUMIFS('Raw Data'!$M$2:$M$421,'Raw Data'!$D$2:$D$421,B30)</f>
        <v>136136.29999999999</v>
      </c>
      <c r="F30" s="4">
        <f>COUNTIFS('Raw Data'!$D$2:$D$421,B30)</f>
        <v>7</v>
      </c>
      <c r="G30" s="5">
        <f t="shared" si="0"/>
        <v>19448.042857142857</v>
      </c>
    </row>
  </sheetData>
  <mergeCells count="1">
    <mergeCell ref="A1:G1"/>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59C2-B06E-4DB4-BDB8-DD2EC606B7F1}">
  <dimension ref="A2:H35"/>
  <sheetViews>
    <sheetView zoomScale="96" workbookViewId="0">
      <selection activeCell="G33" sqref="G33"/>
    </sheetView>
  </sheetViews>
  <sheetFormatPr defaultRowHeight="15" x14ac:dyDescent="0.25"/>
  <cols>
    <col min="1" max="1" width="15.85546875" bestFit="1" customWidth="1"/>
    <col min="2" max="2" width="23.28515625" bestFit="1" customWidth="1"/>
    <col min="4" max="4" width="13.140625" bestFit="1" customWidth="1"/>
    <col min="5" max="5" width="23.28515625" bestFit="1" customWidth="1"/>
    <col min="6" max="6" width="4.5703125" bestFit="1" customWidth="1"/>
    <col min="7" max="7" width="16" bestFit="1" customWidth="1"/>
    <col min="8" max="8" width="23.28515625" bestFit="1" customWidth="1"/>
    <col min="9" max="9" width="5.7109375" bestFit="1" customWidth="1"/>
    <col min="10" max="10" width="11.28515625" bestFit="1" customWidth="1"/>
    <col min="14" max="14" width="16" bestFit="1" customWidth="1"/>
    <col min="15" max="15" width="23.28515625" bestFit="1" customWidth="1"/>
  </cols>
  <sheetData>
    <row r="2" spans="1:8" x14ac:dyDescent="0.25">
      <c r="A2" s="16" t="s">
        <v>751</v>
      </c>
      <c r="B2" s="16" t="s">
        <v>752</v>
      </c>
    </row>
    <row r="3" spans="1:8" x14ac:dyDescent="0.25">
      <c r="A3" s="14" t="s">
        <v>227</v>
      </c>
      <c r="B3" s="15">
        <v>413327.94</v>
      </c>
    </row>
    <row r="4" spans="1:8" x14ac:dyDescent="0.25">
      <c r="A4" s="14" t="s">
        <v>132</v>
      </c>
      <c r="B4" s="15">
        <v>201621.7</v>
      </c>
    </row>
    <row r="5" spans="1:8" x14ac:dyDescent="0.25">
      <c r="A5" s="14" t="s">
        <v>237</v>
      </c>
      <c r="B5" s="15">
        <v>186309.84999999998</v>
      </c>
    </row>
    <row r="6" spans="1:8" x14ac:dyDescent="0.25">
      <c r="A6" s="14" t="s">
        <v>233</v>
      </c>
      <c r="B6" s="15">
        <v>185040.5</v>
      </c>
    </row>
    <row r="7" spans="1:8" x14ac:dyDescent="0.25">
      <c r="A7" s="14" t="s">
        <v>368</v>
      </c>
      <c r="B7" s="15">
        <v>164327.91</v>
      </c>
    </row>
    <row r="8" spans="1:8" x14ac:dyDescent="0.25">
      <c r="A8" s="14" t="s">
        <v>18</v>
      </c>
      <c r="B8" s="15">
        <v>161449.92000000001</v>
      </c>
    </row>
    <row r="9" spans="1:8" x14ac:dyDescent="0.25">
      <c r="A9" s="14" t="s">
        <v>165</v>
      </c>
      <c r="B9" s="15">
        <v>156368.39000000001</v>
      </c>
    </row>
    <row r="10" spans="1:8" x14ac:dyDescent="0.25">
      <c r="A10" s="14" t="s">
        <v>94</v>
      </c>
      <c r="B10" s="15">
        <v>155344.72000000003</v>
      </c>
    </row>
    <row r="11" spans="1:8" x14ac:dyDescent="0.25">
      <c r="A11" s="14" t="s">
        <v>200</v>
      </c>
      <c r="B11" s="15">
        <v>144391.63000000003</v>
      </c>
    </row>
    <row r="12" spans="1:8" x14ac:dyDescent="0.25">
      <c r="A12" s="14" t="s">
        <v>137</v>
      </c>
      <c r="B12" s="15">
        <v>136136.29999999999</v>
      </c>
    </row>
    <row r="14" spans="1:8" x14ac:dyDescent="0.25">
      <c r="A14" s="13" t="s">
        <v>751</v>
      </c>
      <c r="B14" t="s">
        <v>771</v>
      </c>
      <c r="D14" s="13" t="s">
        <v>751</v>
      </c>
      <c r="E14" t="s">
        <v>771</v>
      </c>
    </row>
    <row r="15" spans="1:8" x14ac:dyDescent="0.25">
      <c r="A15" s="14" t="s">
        <v>107</v>
      </c>
      <c r="B15">
        <v>93</v>
      </c>
      <c r="D15" s="14" t="s">
        <v>758</v>
      </c>
      <c r="E15">
        <v>33</v>
      </c>
      <c r="G15" s="13" t="s">
        <v>751</v>
      </c>
      <c r="H15" t="s">
        <v>771</v>
      </c>
    </row>
    <row r="16" spans="1:8" x14ac:dyDescent="0.25">
      <c r="A16" s="14" t="s">
        <v>20</v>
      </c>
      <c r="B16">
        <v>85</v>
      </c>
      <c r="D16" s="14" t="s">
        <v>759</v>
      </c>
      <c r="E16">
        <v>32</v>
      </c>
      <c r="G16" s="14" t="s">
        <v>107</v>
      </c>
      <c r="H16">
        <v>93</v>
      </c>
    </row>
    <row r="17" spans="1:8" x14ac:dyDescent="0.25">
      <c r="A17" s="14" t="s">
        <v>29</v>
      </c>
      <c r="B17">
        <v>83</v>
      </c>
      <c r="D17" s="14" t="s">
        <v>760</v>
      </c>
      <c r="E17">
        <v>39</v>
      </c>
      <c r="G17" s="17" t="s">
        <v>19</v>
      </c>
      <c r="H17">
        <v>41</v>
      </c>
    </row>
    <row r="18" spans="1:8" x14ac:dyDescent="0.25">
      <c r="A18" s="14" t="s">
        <v>56</v>
      </c>
      <c r="B18">
        <v>59</v>
      </c>
      <c r="D18" s="14" t="s">
        <v>761</v>
      </c>
      <c r="E18">
        <v>36</v>
      </c>
      <c r="G18" s="17" t="s">
        <v>113</v>
      </c>
      <c r="H18">
        <v>9</v>
      </c>
    </row>
    <row r="19" spans="1:8" x14ac:dyDescent="0.25">
      <c r="A19" s="14" t="s">
        <v>36</v>
      </c>
      <c r="B19">
        <v>100</v>
      </c>
      <c r="D19" s="14" t="s">
        <v>762</v>
      </c>
      <c r="E19">
        <v>35</v>
      </c>
      <c r="G19" s="17" t="s">
        <v>28</v>
      </c>
      <c r="H19">
        <v>43</v>
      </c>
    </row>
    <row r="20" spans="1:8" x14ac:dyDescent="0.25">
      <c r="D20" s="14" t="s">
        <v>763</v>
      </c>
      <c r="E20">
        <v>38</v>
      </c>
      <c r="G20" s="14" t="s">
        <v>20</v>
      </c>
      <c r="H20">
        <v>85</v>
      </c>
    </row>
    <row r="21" spans="1:8" x14ac:dyDescent="0.25">
      <c r="A21" s="13" t="s">
        <v>751</v>
      </c>
      <c r="B21" t="s">
        <v>771</v>
      </c>
      <c r="D21" s="14" t="s">
        <v>764</v>
      </c>
      <c r="E21">
        <v>26</v>
      </c>
      <c r="G21" s="17" t="s">
        <v>19</v>
      </c>
      <c r="H21">
        <v>34</v>
      </c>
    </row>
    <row r="22" spans="1:8" x14ac:dyDescent="0.25">
      <c r="A22" s="14" t="s">
        <v>19</v>
      </c>
      <c r="B22">
        <v>225</v>
      </c>
      <c r="D22" s="14" t="s">
        <v>765</v>
      </c>
      <c r="E22">
        <v>33</v>
      </c>
      <c r="G22" s="17" t="s">
        <v>113</v>
      </c>
      <c r="H22">
        <v>29</v>
      </c>
    </row>
    <row r="23" spans="1:8" x14ac:dyDescent="0.25">
      <c r="A23" s="14" t="s">
        <v>113</v>
      </c>
      <c r="B23">
        <v>90</v>
      </c>
      <c r="D23" s="14" t="s">
        <v>766</v>
      </c>
      <c r="E23">
        <v>32</v>
      </c>
      <c r="G23" s="17" t="s">
        <v>28</v>
      </c>
      <c r="H23">
        <v>22</v>
      </c>
    </row>
    <row r="24" spans="1:8" x14ac:dyDescent="0.25">
      <c r="A24" s="14" t="s">
        <v>28</v>
      </c>
      <c r="B24">
        <v>105</v>
      </c>
      <c r="D24" s="14" t="s">
        <v>767</v>
      </c>
      <c r="E24">
        <v>37</v>
      </c>
      <c r="G24" s="14" t="s">
        <v>29</v>
      </c>
      <c r="H24">
        <v>83</v>
      </c>
    </row>
    <row r="25" spans="1:8" x14ac:dyDescent="0.25">
      <c r="D25" s="14" t="s">
        <v>768</v>
      </c>
      <c r="E25">
        <v>30</v>
      </c>
      <c r="G25" s="17" t="s">
        <v>19</v>
      </c>
      <c r="H25">
        <v>46</v>
      </c>
    </row>
    <row r="26" spans="1:8" x14ac:dyDescent="0.25">
      <c r="A26" s="13" t="s">
        <v>751</v>
      </c>
      <c r="B26" t="s">
        <v>771</v>
      </c>
      <c r="D26" s="14" t="s">
        <v>769</v>
      </c>
      <c r="E26">
        <v>49</v>
      </c>
      <c r="G26" s="17" t="s">
        <v>113</v>
      </c>
      <c r="H26">
        <v>16</v>
      </c>
    </row>
    <row r="27" spans="1:8" x14ac:dyDescent="0.25">
      <c r="A27" s="14" t="s">
        <v>32</v>
      </c>
      <c r="B27">
        <v>98</v>
      </c>
      <c r="G27" s="17" t="s">
        <v>28</v>
      </c>
      <c r="H27">
        <v>21</v>
      </c>
    </row>
    <row r="28" spans="1:8" x14ac:dyDescent="0.25">
      <c r="A28" s="14" t="s">
        <v>24</v>
      </c>
      <c r="B28">
        <v>75</v>
      </c>
      <c r="G28" s="14" t="s">
        <v>56</v>
      </c>
      <c r="H28">
        <v>59</v>
      </c>
    </row>
    <row r="29" spans="1:8" x14ac:dyDescent="0.25">
      <c r="A29" s="14" t="s">
        <v>73</v>
      </c>
      <c r="B29">
        <v>74</v>
      </c>
      <c r="G29" s="17" t="s">
        <v>19</v>
      </c>
      <c r="H29">
        <v>31</v>
      </c>
    </row>
    <row r="30" spans="1:8" x14ac:dyDescent="0.25">
      <c r="A30" s="14" t="s">
        <v>88</v>
      </c>
      <c r="B30">
        <v>85</v>
      </c>
      <c r="G30" s="17" t="s">
        <v>113</v>
      </c>
      <c r="H30">
        <v>19</v>
      </c>
    </row>
    <row r="31" spans="1:8" x14ac:dyDescent="0.25">
      <c r="A31" s="14" t="s">
        <v>40</v>
      </c>
      <c r="B31">
        <v>88</v>
      </c>
      <c r="G31" s="17" t="s">
        <v>28</v>
      </c>
      <c r="H31">
        <v>9</v>
      </c>
    </row>
    <row r="32" spans="1:8" x14ac:dyDescent="0.25">
      <c r="G32" s="14" t="s">
        <v>36</v>
      </c>
      <c r="H32">
        <v>100</v>
      </c>
    </row>
    <row r="33" spans="7:8" x14ac:dyDescent="0.25">
      <c r="G33" s="17" t="s">
        <v>19</v>
      </c>
      <c r="H33">
        <v>73</v>
      </c>
    </row>
    <row r="34" spans="7:8" x14ac:dyDescent="0.25">
      <c r="G34" s="17" t="s">
        <v>113</v>
      </c>
      <c r="H34">
        <v>17</v>
      </c>
    </row>
    <row r="35" spans="7:8" x14ac:dyDescent="0.25">
      <c r="G35" s="17" t="s">
        <v>28</v>
      </c>
      <c r="H35">
        <v>10</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EEFF-833C-4CD5-90C9-A4F3B4C486DD}">
  <dimension ref="A1"/>
  <sheetViews>
    <sheetView showGridLines="0" showRowColHeaders="0" workbookViewId="0">
      <selection activeCell="G33" sqref="G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showGridLines="0" zoomScaleNormal="100" workbookViewId="0">
      <selection activeCell="B27" sqref="B27"/>
    </sheetView>
  </sheetViews>
  <sheetFormatPr defaultColWidth="8.7109375" defaultRowHeight="15" x14ac:dyDescent="0.25"/>
  <cols>
    <col min="1" max="1" width="22" customWidth="1"/>
    <col min="2" max="2" width="30" customWidth="1"/>
    <col min="3" max="3" width="16" customWidth="1"/>
    <col min="4" max="5" width="15" customWidth="1"/>
    <col min="6" max="6" width="13.85546875" bestFit="1" customWidth="1"/>
    <col min="7" max="7" width="16" customWidth="1"/>
  </cols>
  <sheetData>
    <row r="1" spans="1:7" ht="27.75" customHeight="1" x14ac:dyDescent="0.25">
      <c r="A1" s="22" t="s">
        <v>710</v>
      </c>
      <c r="B1" s="22"/>
      <c r="C1" s="22"/>
      <c r="D1" s="22"/>
      <c r="E1" s="22"/>
      <c r="F1" s="22"/>
    </row>
    <row r="3" spans="1:7" ht="15.75" customHeight="1" x14ac:dyDescent="0.25">
      <c r="A3" s="7" t="s">
        <v>711</v>
      </c>
    </row>
    <row r="4" spans="1:7" ht="15" customHeight="1" x14ac:dyDescent="0.25">
      <c r="A4" s="8" t="s">
        <v>8</v>
      </c>
      <c r="B4" s="8" t="s">
        <v>712</v>
      </c>
      <c r="C4" s="8" t="s">
        <v>713</v>
      </c>
      <c r="D4" s="8" t="s">
        <v>714</v>
      </c>
      <c r="E4" s="8" t="s">
        <v>715</v>
      </c>
      <c r="F4" s="8" t="s">
        <v>716</v>
      </c>
      <c r="G4" s="8" t="s">
        <v>717</v>
      </c>
    </row>
    <row r="5" spans="1:7" ht="15" customHeight="1" x14ac:dyDescent="0.25">
      <c r="A5" s="2" t="s">
        <v>23</v>
      </c>
      <c r="B5" s="5">
        <f>SUMIFS('Raw Data'!$M$2:$M$421,'Raw Data'!$I$2:$I$421,A5)</f>
        <v>1079968.98</v>
      </c>
      <c r="C5" s="5">
        <f>SUMIFS('Raw Data'!$N$2:$N$421,'Raw Data'!$I$2:$I$421,A5)</f>
        <v>286935.46999999997</v>
      </c>
      <c r="D5" s="6">
        <f t="shared" ref="D5:D10" si="0">IFERROR(C5/B5,0)</f>
        <v>0.26568862190838111</v>
      </c>
      <c r="E5" s="4">
        <f>SUMIFS('Raw Data'!$J$2:$J$421,'Raw Data'!$I$2:$I$421,A5)</f>
        <v>496</v>
      </c>
      <c r="F5" s="4">
        <f>COUNTIFS('Raw Data'!$I$2:$I$421,A5)</f>
        <v>75</v>
      </c>
      <c r="G5" s="5">
        <f t="shared" ref="G5:G10" si="1">IFERROR(B5/F5,0)</f>
        <v>14399.5864</v>
      </c>
    </row>
    <row r="6" spans="1:7" ht="15" customHeight="1" x14ac:dyDescent="0.25">
      <c r="A6" s="2" t="s">
        <v>59</v>
      </c>
      <c r="B6" s="5">
        <f>SUMIFS('Raw Data'!$M$2:$M$421,'Raw Data'!$I$2:$I$421,A6)</f>
        <v>2174930.5799999991</v>
      </c>
      <c r="C6" s="5">
        <f>SUMIFS('Raw Data'!$N$2:$N$421,'Raw Data'!$I$2:$I$421,A6)</f>
        <v>687192.42999999982</v>
      </c>
      <c r="D6" s="6">
        <f t="shared" si="0"/>
        <v>0.31596062712033784</v>
      </c>
      <c r="E6" s="4">
        <f>SUMIFS('Raw Data'!$J$2:$J$421,'Raw Data'!$I$2:$I$421,A6)</f>
        <v>439</v>
      </c>
      <c r="F6" s="4">
        <f>COUNTIFS('Raw Data'!$I$2:$I$421,A6)</f>
        <v>68</v>
      </c>
      <c r="G6" s="5">
        <f t="shared" si="1"/>
        <v>31984.273235294106</v>
      </c>
    </row>
    <row r="7" spans="1:7" ht="15" customHeight="1" x14ac:dyDescent="0.25">
      <c r="A7" s="2" t="s">
        <v>46</v>
      </c>
      <c r="B7" s="5">
        <f>SUMIFS('Raw Data'!$M$2:$M$421,'Raw Data'!$I$2:$I$421,A7)</f>
        <v>206437.09999999998</v>
      </c>
      <c r="C7" s="5">
        <f>SUMIFS('Raw Data'!$N$2:$N$421,'Raw Data'!$I$2:$I$421,A7)</f>
        <v>54896.72</v>
      </c>
      <c r="D7" s="6">
        <f t="shared" si="0"/>
        <v>0.26592468117407192</v>
      </c>
      <c r="E7" s="4">
        <f>SUMIFS('Raw Data'!$J$2:$J$421,'Raw Data'!$I$2:$I$421,A7)</f>
        <v>569</v>
      </c>
      <c r="F7" s="4">
        <f>COUNTIFS('Raw Data'!$I$2:$I$421,A7)</f>
        <v>89</v>
      </c>
      <c r="G7" s="5">
        <f t="shared" si="1"/>
        <v>2319.5179775280894</v>
      </c>
    </row>
    <row r="8" spans="1:7" ht="15" customHeight="1" x14ac:dyDescent="0.25">
      <c r="A8" s="2" t="s">
        <v>52</v>
      </c>
      <c r="B8" s="5">
        <f>SUMIFS('Raw Data'!$M$2:$M$421,'Raw Data'!$I$2:$I$421,A8)</f>
        <v>775337.07000000007</v>
      </c>
      <c r="C8" s="5">
        <f>SUMIFS('Raw Data'!$N$2:$N$421,'Raw Data'!$I$2:$I$421,A8)</f>
        <v>211497.55999999997</v>
      </c>
      <c r="D8" s="6">
        <f t="shared" si="0"/>
        <v>0.27278143685300632</v>
      </c>
      <c r="E8" s="4">
        <f>SUMIFS('Raw Data'!$J$2:$J$421,'Raw Data'!$I$2:$I$421,A8)</f>
        <v>625</v>
      </c>
      <c r="F8" s="4">
        <f>COUNTIFS('Raw Data'!$I$2:$I$421,A8)</f>
        <v>95</v>
      </c>
      <c r="G8" s="5">
        <f t="shared" si="1"/>
        <v>8161.4428421052635</v>
      </c>
    </row>
    <row r="9" spans="1:7" ht="15" customHeight="1" x14ac:dyDescent="0.25">
      <c r="A9" s="2" t="s">
        <v>39</v>
      </c>
      <c r="B9" s="5">
        <f>SUMIFS('Raw Data'!$M$2:$M$421,'Raw Data'!$I$2:$I$421,A9)</f>
        <v>1563702.1999999995</v>
      </c>
      <c r="C9" s="5">
        <f>SUMIFS('Raw Data'!$N$2:$N$421,'Raw Data'!$I$2:$I$421,A9)</f>
        <v>415643.39999999991</v>
      </c>
      <c r="D9" s="6">
        <f t="shared" si="0"/>
        <v>0.2658072617663389</v>
      </c>
      <c r="E9" s="4">
        <f>SUMIFS('Raw Data'!$J$2:$J$421,'Raw Data'!$I$2:$I$421,A9)</f>
        <v>635</v>
      </c>
      <c r="F9" s="4">
        <f>COUNTIFS('Raw Data'!$I$2:$I$421,A9)</f>
        <v>93</v>
      </c>
      <c r="G9" s="5">
        <f t="shared" si="1"/>
        <v>16814.002150537628</v>
      </c>
    </row>
    <row r="10" spans="1:7" ht="15" customHeight="1" x14ac:dyDescent="0.25">
      <c r="A10" s="9" t="s">
        <v>718</v>
      </c>
      <c r="B10" s="10">
        <f>SUM(B5:B9)</f>
        <v>5800375.9299999988</v>
      </c>
      <c r="C10" s="10">
        <f>SUM(C5:C9)</f>
        <v>1656165.5799999996</v>
      </c>
      <c r="D10" s="11">
        <f t="shared" si="0"/>
        <v>0.28552728305663455</v>
      </c>
      <c r="E10" s="9">
        <f>SUM(E5:E9)</f>
        <v>2764</v>
      </c>
      <c r="F10" s="9">
        <f>SUM(F5:F9)</f>
        <v>420</v>
      </c>
      <c r="G10" s="10">
        <f t="shared" si="1"/>
        <v>13810.418880952378</v>
      </c>
    </row>
    <row r="13" spans="1:7" ht="15.75" customHeight="1" x14ac:dyDescent="0.25">
      <c r="A13" s="7" t="s">
        <v>719</v>
      </c>
    </row>
    <row r="14" spans="1:7" ht="15" customHeight="1" x14ac:dyDescent="0.25">
      <c r="A14" s="8" t="s">
        <v>720</v>
      </c>
      <c r="B14" s="8" t="s">
        <v>721</v>
      </c>
      <c r="C14" s="8" t="s">
        <v>8</v>
      </c>
      <c r="D14" s="8" t="s">
        <v>712</v>
      </c>
      <c r="E14" s="8" t="s">
        <v>713</v>
      </c>
      <c r="F14" s="8" t="s">
        <v>715</v>
      </c>
    </row>
    <row r="15" spans="1:7" ht="15" customHeight="1" x14ac:dyDescent="0.25">
      <c r="A15" s="4">
        <v>1</v>
      </c>
      <c r="B15" s="2" t="s">
        <v>87</v>
      </c>
      <c r="C15" s="4" t="s">
        <v>59</v>
      </c>
      <c r="D15" s="5">
        <f>SUMIFS('Raw Data'!$M$2:$M$421,'Raw Data'!$H$2:$H$421,B15)</f>
        <v>355677.49</v>
      </c>
      <c r="E15" s="5">
        <f>SUMIFS('Raw Data'!$N$2:$N$421,'Raw Data'!$H$2:$H$421,B15)</f>
        <v>103766.16</v>
      </c>
      <c r="F15" s="4">
        <f>SUMIFS('Raw Data'!$J$2:$J$421,'Raw Data'!$H$2:$H$421,B15)</f>
        <v>68</v>
      </c>
    </row>
    <row r="16" spans="1:7" ht="15" customHeight="1" x14ac:dyDescent="0.25">
      <c r="A16" s="4">
        <v>2</v>
      </c>
      <c r="B16" s="2" t="s">
        <v>206</v>
      </c>
      <c r="C16" s="4" t="s">
        <v>59</v>
      </c>
      <c r="D16" s="5">
        <f>SUMIFS('Raw Data'!$M$2:$M$421,'Raw Data'!$H$2:$H$421,B16)</f>
        <v>351751.69</v>
      </c>
      <c r="E16" s="5">
        <f>SUMIFS('Raw Data'!$N$2:$N$421,'Raw Data'!$H$2:$H$421,B16)</f>
        <v>108670.84</v>
      </c>
      <c r="F16" s="4">
        <f>SUMIFS('Raw Data'!$J$2:$J$421,'Raw Data'!$H$2:$H$421,B16)</f>
        <v>69</v>
      </c>
    </row>
    <row r="17" spans="1:6" ht="15" customHeight="1" x14ac:dyDescent="0.25">
      <c r="A17" s="4">
        <v>3</v>
      </c>
      <c r="B17" s="2" t="s">
        <v>78</v>
      </c>
      <c r="C17" s="4" t="s">
        <v>59</v>
      </c>
      <c r="D17" s="5">
        <f>SUMIFS('Raw Data'!$M$2:$M$421,'Raw Data'!$H$2:$H$421,B17)</f>
        <v>312388.87</v>
      </c>
      <c r="E17" s="5">
        <f>SUMIFS('Raw Data'!$N$2:$N$421,'Raw Data'!$H$2:$H$421,B17)</f>
        <v>101302.37999999999</v>
      </c>
      <c r="F17" s="4">
        <f>SUMIFS('Raw Data'!$J$2:$J$421,'Raw Data'!$H$2:$H$421,B17)</f>
        <v>65</v>
      </c>
    </row>
    <row r="18" spans="1:6" ht="15" customHeight="1" x14ac:dyDescent="0.25">
      <c r="A18" s="4">
        <v>4</v>
      </c>
      <c r="B18" s="2" t="s">
        <v>134</v>
      </c>
      <c r="C18" s="4" t="s">
        <v>39</v>
      </c>
      <c r="D18" s="5">
        <f>SUMIFS('Raw Data'!$M$2:$M$421,'Raw Data'!$H$2:$H$421,B18)</f>
        <v>288886.33</v>
      </c>
      <c r="E18" s="5">
        <f>SUMIFS('Raw Data'!$N$2:$N$421,'Raw Data'!$H$2:$H$421,B18)</f>
        <v>73931.950000000012</v>
      </c>
      <c r="F18" s="4">
        <f>SUMIFS('Raw Data'!$J$2:$J$421,'Raw Data'!$H$2:$H$421,B18)</f>
        <v>98</v>
      </c>
    </row>
    <row r="19" spans="1:6" ht="15" customHeight="1" x14ac:dyDescent="0.25">
      <c r="A19" s="4">
        <v>5</v>
      </c>
      <c r="B19" s="2" t="s">
        <v>216</v>
      </c>
      <c r="C19" s="4" t="s">
        <v>39</v>
      </c>
      <c r="D19" s="5">
        <f>SUMIFS('Raw Data'!$M$2:$M$421,'Raw Data'!$H$2:$H$421,B19)</f>
        <v>282782.28000000003</v>
      </c>
      <c r="E19" s="5">
        <f>SUMIFS('Raw Data'!$N$2:$N$421,'Raw Data'!$H$2:$H$421,B19)</f>
        <v>60455.810000000005</v>
      </c>
      <c r="F19" s="4">
        <f>SUMIFS('Raw Data'!$J$2:$J$421,'Raw Data'!$H$2:$H$421,B19)</f>
        <v>81</v>
      </c>
    </row>
    <row r="20" spans="1:6" ht="15" customHeight="1" x14ac:dyDescent="0.25">
      <c r="A20" s="4">
        <v>6</v>
      </c>
      <c r="B20" s="2" t="s">
        <v>84</v>
      </c>
      <c r="C20" s="4" t="s">
        <v>59</v>
      </c>
      <c r="D20" s="5">
        <f>SUMIFS('Raw Data'!$M$2:$M$421,'Raw Data'!$H$2:$H$421,B20)</f>
        <v>252725.73</v>
      </c>
      <c r="E20" s="5">
        <f>SUMIFS('Raw Data'!$N$2:$N$421,'Raw Data'!$H$2:$H$421,B20)</f>
        <v>87561.26</v>
      </c>
      <c r="F20" s="4">
        <f>SUMIFS('Raw Data'!$J$2:$J$421,'Raw Data'!$H$2:$H$421,B20)</f>
        <v>33</v>
      </c>
    </row>
    <row r="21" spans="1:6" ht="15" customHeight="1" x14ac:dyDescent="0.25">
      <c r="A21" s="4">
        <v>7</v>
      </c>
      <c r="B21" s="2" t="s">
        <v>472</v>
      </c>
      <c r="C21" s="4" t="s">
        <v>59</v>
      </c>
      <c r="D21" s="5">
        <f>SUMIFS('Raw Data'!$M$2:$M$421,'Raw Data'!$H$2:$H$421,B21)</f>
        <v>222020.05</v>
      </c>
      <c r="E21" s="5">
        <f>SUMIFS('Raw Data'!$N$2:$N$421,'Raw Data'!$H$2:$H$421,B21)</f>
        <v>49048.82</v>
      </c>
      <c r="F21" s="4">
        <f>SUMIFS('Raw Data'!$J$2:$J$421,'Raw Data'!$H$2:$H$421,B21)</f>
        <v>44</v>
      </c>
    </row>
    <row r="22" spans="1:6" ht="15" customHeight="1" x14ac:dyDescent="0.25">
      <c r="A22" s="4">
        <v>8</v>
      </c>
      <c r="B22" s="2" t="s">
        <v>31</v>
      </c>
      <c r="C22" s="4" t="s">
        <v>23</v>
      </c>
      <c r="D22" s="5">
        <f>SUMIFS('Raw Data'!$M$2:$M$421,'Raw Data'!$H$2:$H$421,B22)</f>
        <v>206299.55000000002</v>
      </c>
      <c r="E22" s="5">
        <f>SUMIFS('Raw Data'!$N$2:$N$421,'Raw Data'!$H$2:$H$421,B22)</f>
        <v>55026.03</v>
      </c>
      <c r="F22" s="4">
        <f>SUMIFS('Raw Data'!$J$2:$J$421,'Raw Data'!$H$2:$H$421,B22)</f>
        <v>81</v>
      </c>
    </row>
    <row r="23" spans="1:6" ht="15" customHeight="1" x14ac:dyDescent="0.25">
      <c r="A23" s="4">
        <v>9</v>
      </c>
      <c r="B23" s="2" t="s">
        <v>38</v>
      </c>
      <c r="C23" s="4" t="s">
        <v>39</v>
      </c>
      <c r="D23" s="5">
        <f>SUMIFS('Raw Data'!$M$2:$M$421,'Raw Data'!$H$2:$H$421,B23)</f>
        <v>200736.83999999997</v>
      </c>
      <c r="E23" s="5">
        <f>SUMIFS('Raw Data'!$N$2:$N$421,'Raw Data'!$H$2:$H$421,B23)</f>
        <v>60438.23</v>
      </c>
      <c r="F23" s="4">
        <f>SUMIFS('Raw Data'!$J$2:$J$421,'Raw Data'!$H$2:$H$421,B23)</f>
        <v>104</v>
      </c>
    </row>
    <row r="24" spans="1:6" ht="15" customHeight="1" x14ac:dyDescent="0.25">
      <c r="A24" s="4">
        <v>10</v>
      </c>
      <c r="B24" s="2" t="s">
        <v>467</v>
      </c>
      <c r="C24" s="4" t="s">
        <v>59</v>
      </c>
      <c r="D24" s="5">
        <f>SUMIFS('Raw Data'!$M$2:$M$421,'Raw Data'!$H$2:$H$421,B24)</f>
        <v>198090.86</v>
      </c>
      <c r="E24" s="5">
        <f>SUMIFS('Raw Data'!$N$2:$N$421,'Raw Data'!$H$2:$H$421,B24)</f>
        <v>76026</v>
      </c>
      <c r="F24" s="4">
        <f>SUMIFS('Raw Data'!$J$2:$J$421,'Raw Data'!$H$2:$H$421,B24)</f>
        <v>35</v>
      </c>
    </row>
  </sheetData>
  <mergeCells count="1">
    <mergeCell ref="A1:F1"/>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6221-06C3-47B4-9220-DEFC4ECA1332}">
  <dimension ref="A2:I29"/>
  <sheetViews>
    <sheetView workbookViewId="0">
      <selection activeCell="F2" sqref="F2"/>
    </sheetView>
  </sheetViews>
  <sheetFormatPr defaultRowHeight="15" x14ac:dyDescent="0.25"/>
  <cols>
    <col min="1" max="2" width="15.42578125" bestFit="1" customWidth="1"/>
    <col min="3" max="3" width="12.140625" bestFit="1" customWidth="1"/>
    <col min="4" max="5" width="17" bestFit="1" customWidth="1"/>
    <col min="6" max="6" width="16.28515625" bestFit="1" customWidth="1"/>
    <col min="7" max="7" width="9.85546875" bestFit="1" customWidth="1"/>
    <col min="8" max="8" width="12.140625" bestFit="1" customWidth="1"/>
    <col min="9" max="9" width="14.5703125" bestFit="1" customWidth="1"/>
    <col min="12" max="12" width="17" bestFit="1" customWidth="1"/>
    <col min="13" max="13" width="16.28515625" bestFit="1" customWidth="1"/>
    <col min="14" max="14" width="10.5703125" bestFit="1" customWidth="1"/>
    <col min="15" max="15" width="9.28515625" bestFit="1" customWidth="1"/>
    <col min="16" max="16" width="15.5703125" bestFit="1" customWidth="1"/>
    <col min="17" max="17" width="14.5703125" bestFit="1" customWidth="1"/>
    <col min="18" max="18" width="11.28515625" bestFit="1" customWidth="1"/>
  </cols>
  <sheetData>
    <row r="2" spans="1:9" x14ac:dyDescent="0.25">
      <c r="A2" s="16" t="s">
        <v>751</v>
      </c>
      <c r="B2" s="16" t="s">
        <v>752</v>
      </c>
      <c r="D2" s="13" t="s">
        <v>770</v>
      </c>
      <c r="E2" s="13" t="s">
        <v>756</v>
      </c>
    </row>
    <row r="3" spans="1:9" x14ac:dyDescent="0.25">
      <c r="A3" s="14" t="s">
        <v>87</v>
      </c>
      <c r="B3" s="15">
        <v>355677.49</v>
      </c>
      <c r="D3" s="13" t="s">
        <v>751</v>
      </c>
      <c r="E3" t="s">
        <v>52</v>
      </c>
      <c r="F3" t="s">
        <v>23</v>
      </c>
      <c r="G3" t="s">
        <v>59</v>
      </c>
      <c r="H3" t="s">
        <v>39</v>
      </c>
      <c r="I3" t="s">
        <v>46</v>
      </c>
    </row>
    <row r="4" spans="1:9" x14ac:dyDescent="0.25">
      <c r="A4" s="14" t="s">
        <v>206</v>
      </c>
      <c r="B4" s="15">
        <v>351751.69</v>
      </c>
      <c r="D4" s="14" t="s">
        <v>758</v>
      </c>
      <c r="E4">
        <v>4</v>
      </c>
      <c r="F4">
        <v>8</v>
      </c>
      <c r="G4">
        <v>7</v>
      </c>
      <c r="H4">
        <v>8</v>
      </c>
      <c r="I4">
        <v>6</v>
      </c>
    </row>
    <row r="5" spans="1:9" x14ac:dyDescent="0.25">
      <c r="A5" s="14" t="s">
        <v>78</v>
      </c>
      <c r="B5" s="15">
        <v>312388.87</v>
      </c>
      <c r="D5" s="14" t="s">
        <v>759</v>
      </c>
      <c r="E5">
        <v>5</v>
      </c>
      <c r="F5">
        <v>6</v>
      </c>
      <c r="G5">
        <v>6</v>
      </c>
      <c r="H5">
        <v>3</v>
      </c>
      <c r="I5">
        <v>12</v>
      </c>
    </row>
    <row r="6" spans="1:9" x14ac:dyDescent="0.25">
      <c r="A6" s="14" t="s">
        <v>134</v>
      </c>
      <c r="B6" s="15">
        <v>288886.33</v>
      </c>
      <c r="D6" s="14" t="s">
        <v>760</v>
      </c>
      <c r="E6">
        <v>6</v>
      </c>
      <c r="F6">
        <v>8</v>
      </c>
      <c r="G6">
        <v>9</v>
      </c>
      <c r="H6">
        <v>11</v>
      </c>
      <c r="I6">
        <v>5</v>
      </c>
    </row>
    <row r="7" spans="1:9" x14ac:dyDescent="0.25">
      <c r="A7" s="14" t="s">
        <v>216</v>
      </c>
      <c r="B7" s="15">
        <v>282782.28000000003</v>
      </c>
      <c r="D7" s="14" t="s">
        <v>761</v>
      </c>
      <c r="E7">
        <v>9</v>
      </c>
      <c r="F7">
        <v>7</v>
      </c>
      <c r="G7">
        <v>4</v>
      </c>
      <c r="H7">
        <v>10</v>
      </c>
      <c r="I7">
        <v>6</v>
      </c>
    </row>
    <row r="8" spans="1:9" x14ac:dyDescent="0.25">
      <c r="A8" s="14" t="s">
        <v>84</v>
      </c>
      <c r="B8" s="15">
        <v>252725.73</v>
      </c>
      <c r="D8" s="14" t="s">
        <v>762</v>
      </c>
      <c r="E8">
        <v>11</v>
      </c>
      <c r="F8">
        <v>3</v>
      </c>
      <c r="G8">
        <v>6</v>
      </c>
      <c r="H8">
        <v>8</v>
      </c>
      <c r="I8">
        <v>7</v>
      </c>
    </row>
    <row r="9" spans="1:9" x14ac:dyDescent="0.25">
      <c r="A9" s="14" t="s">
        <v>472</v>
      </c>
      <c r="B9" s="15">
        <v>222020.05</v>
      </c>
      <c r="D9" s="14" t="s">
        <v>763</v>
      </c>
      <c r="E9">
        <v>9</v>
      </c>
      <c r="F9">
        <v>7</v>
      </c>
      <c r="G9">
        <v>7</v>
      </c>
      <c r="H9">
        <v>11</v>
      </c>
      <c r="I9">
        <v>4</v>
      </c>
    </row>
    <row r="10" spans="1:9" x14ac:dyDescent="0.25">
      <c r="A10" s="14" t="s">
        <v>31</v>
      </c>
      <c r="B10" s="15">
        <v>206299.55000000002</v>
      </c>
      <c r="D10" s="14" t="s">
        <v>764</v>
      </c>
      <c r="E10">
        <v>5</v>
      </c>
      <c r="F10">
        <v>4</v>
      </c>
      <c r="G10">
        <v>2</v>
      </c>
      <c r="H10">
        <v>7</v>
      </c>
      <c r="I10">
        <v>8</v>
      </c>
    </row>
    <row r="11" spans="1:9" x14ac:dyDescent="0.25">
      <c r="A11" s="14" t="s">
        <v>38</v>
      </c>
      <c r="B11" s="15">
        <v>200736.83999999997</v>
      </c>
      <c r="D11" s="14" t="s">
        <v>765</v>
      </c>
      <c r="E11">
        <v>11</v>
      </c>
      <c r="F11">
        <v>4</v>
      </c>
      <c r="G11">
        <v>4</v>
      </c>
      <c r="H11">
        <v>5</v>
      </c>
      <c r="I11">
        <v>9</v>
      </c>
    </row>
    <row r="12" spans="1:9" x14ac:dyDescent="0.25">
      <c r="A12" s="14" t="s">
        <v>467</v>
      </c>
      <c r="B12" s="15">
        <v>198090.86</v>
      </c>
      <c r="D12" s="14" t="s">
        <v>766</v>
      </c>
      <c r="E12">
        <v>7</v>
      </c>
      <c r="F12">
        <v>5</v>
      </c>
      <c r="G12">
        <v>5</v>
      </c>
      <c r="H12">
        <v>6</v>
      </c>
      <c r="I12">
        <v>9</v>
      </c>
    </row>
    <row r="13" spans="1:9" x14ac:dyDescent="0.25">
      <c r="D13" s="14" t="s">
        <v>767</v>
      </c>
      <c r="E13">
        <v>5</v>
      </c>
      <c r="F13">
        <v>12</v>
      </c>
      <c r="G13">
        <v>4</v>
      </c>
      <c r="H13">
        <v>7</v>
      </c>
      <c r="I13">
        <v>9</v>
      </c>
    </row>
    <row r="14" spans="1:9" x14ac:dyDescent="0.25">
      <c r="D14" s="14" t="s">
        <v>768</v>
      </c>
      <c r="E14">
        <v>12</v>
      </c>
      <c r="F14">
        <v>3</v>
      </c>
      <c r="G14">
        <v>5</v>
      </c>
      <c r="H14">
        <v>6</v>
      </c>
      <c r="I14">
        <v>4</v>
      </c>
    </row>
    <row r="15" spans="1:9" x14ac:dyDescent="0.25">
      <c r="A15" s="13" t="s">
        <v>751</v>
      </c>
      <c r="B15" t="s">
        <v>754</v>
      </c>
      <c r="D15" s="14" t="s">
        <v>769</v>
      </c>
      <c r="E15">
        <v>11</v>
      </c>
      <c r="F15">
        <v>8</v>
      </c>
      <c r="G15">
        <v>9</v>
      </c>
      <c r="H15">
        <v>11</v>
      </c>
      <c r="I15">
        <v>10</v>
      </c>
    </row>
    <row r="16" spans="1:9" x14ac:dyDescent="0.25">
      <c r="A16" s="14" t="s">
        <v>52</v>
      </c>
      <c r="B16">
        <v>625</v>
      </c>
    </row>
    <row r="17" spans="1:8" x14ac:dyDescent="0.25">
      <c r="A17" s="14" t="s">
        <v>23</v>
      </c>
      <c r="B17">
        <v>496</v>
      </c>
      <c r="E17" s="13" t="s">
        <v>757</v>
      </c>
      <c r="F17" s="13" t="s">
        <v>756</v>
      </c>
    </row>
    <row r="18" spans="1:8" x14ac:dyDescent="0.25">
      <c r="A18" s="14" t="s">
        <v>59</v>
      </c>
      <c r="B18">
        <v>439</v>
      </c>
      <c r="E18" s="13" t="s">
        <v>751</v>
      </c>
      <c r="F18" t="s">
        <v>19</v>
      </c>
      <c r="G18" t="s">
        <v>113</v>
      </c>
      <c r="H18" t="s">
        <v>28</v>
      </c>
    </row>
    <row r="19" spans="1:8" x14ac:dyDescent="0.25">
      <c r="A19" s="14" t="s">
        <v>39</v>
      </c>
      <c r="B19">
        <v>635</v>
      </c>
      <c r="E19" s="14" t="s">
        <v>52</v>
      </c>
      <c r="F19">
        <v>52</v>
      </c>
      <c r="G19">
        <v>24</v>
      </c>
      <c r="H19">
        <v>19</v>
      </c>
    </row>
    <row r="20" spans="1:8" x14ac:dyDescent="0.25">
      <c r="A20" s="14" t="s">
        <v>46</v>
      </c>
      <c r="B20">
        <v>569</v>
      </c>
      <c r="E20" s="14" t="s">
        <v>23</v>
      </c>
      <c r="F20">
        <v>42</v>
      </c>
      <c r="G20">
        <v>14</v>
      </c>
      <c r="H20">
        <v>19</v>
      </c>
    </row>
    <row r="21" spans="1:8" x14ac:dyDescent="0.25">
      <c r="E21" s="14" t="s">
        <v>59</v>
      </c>
      <c r="F21">
        <v>35</v>
      </c>
      <c r="G21">
        <v>16</v>
      </c>
      <c r="H21">
        <v>17</v>
      </c>
    </row>
    <row r="22" spans="1:8" x14ac:dyDescent="0.25">
      <c r="E22" s="14" t="s">
        <v>39</v>
      </c>
      <c r="F22">
        <v>48</v>
      </c>
      <c r="G22">
        <v>22</v>
      </c>
      <c r="H22">
        <v>23</v>
      </c>
    </row>
    <row r="23" spans="1:8" x14ac:dyDescent="0.25">
      <c r="E23" s="14" t="s">
        <v>46</v>
      </c>
      <c r="F23">
        <v>48</v>
      </c>
      <c r="G23">
        <v>14</v>
      </c>
      <c r="H23">
        <v>27</v>
      </c>
    </row>
    <row r="24" spans="1:8" x14ac:dyDescent="0.25">
      <c r="A24" s="13" t="s">
        <v>751</v>
      </c>
      <c r="B24" t="s">
        <v>755</v>
      </c>
      <c r="C24" t="s">
        <v>752</v>
      </c>
      <c r="D24" t="s">
        <v>753</v>
      </c>
    </row>
    <row r="25" spans="1:8" x14ac:dyDescent="0.25">
      <c r="A25" s="14" t="s">
        <v>52</v>
      </c>
      <c r="B25" s="15">
        <v>12668.360000000002</v>
      </c>
      <c r="C25" s="15">
        <v>775337.07000000007</v>
      </c>
      <c r="D25" s="15">
        <v>211497.55999999997</v>
      </c>
    </row>
    <row r="26" spans="1:8" x14ac:dyDescent="0.25">
      <c r="A26" s="14" t="s">
        <v>23</v>
      </c>
      <c r="B26" s="15">
        <v>10673.349999999999</v>
      </c>
      <c r="C26" s="15">
        <v>1079968.98</v>
      </c>
      <c r="D26" s="15">
        <v>286935.46999999997</v>
      </c>
    </row>
    <row r="27" spans="1:8" x14ac:dyDescent="0.25">
      <c r="A27" s="14" t="s">
        <v>59</v>
      </c>
      <c r="B27" s="15">
        <v>9255.7699999999986</v>
      </c>
      <c r="C27" s="15">
        <v>2174930.5799999991</v>
      </c>
      <c r="D27" s="15">
        <v>687192.42999999982</v>
      </c>
    </row>
    <row r="28" spans="1:8" x14ac:dyDescent="0.25">
      <c r="A28" s="14" t="s">
        <v>39</v>
      </c>
      <c r="B28" s="15">
        <v>12426.199999999999</v>
      </c>
      <c r="C28" s="15">
        <v>1563702.1999999995</v>
      </c>
      <c r="D28" s="15">
        <v>415643.39999999991</v>
      </c>
    </row>
    <row r="29" spans="1:8" x14ac:dyDescent="0.25">
      <c r="A29" s="14" t="s">
        <v>46</v>
      </c>
      <c r="B29" s="15">
        <v>12489.299999999997</v>
      </c>
      <c r="C29" s="15">
        <v>206437.09999999998</v>
      </c>
      <c r="D29" s="15">
        <v>54896.72</v>
      </c>
    </row>
  </sheetData>
  <dataConsolid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D5F3-B1AF-4826-85D2-6B707427E177}">
  <dimension ref="A1"/>
  <sheetViews>
    <sheetView showGridLines="0" showRowColHeaders="0" workbookViewId="0">
      <selection activeCell="C26" sqref="C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Dashboard</vt:lpstr>
      <vt:lpstr>Time Analysis</vt:lpstr>
      <vt:lpstr>Customer Analysis</vt:lpstr>
      <vt:lpstr>Customer pivot</vt:lpstr>
      <vt:lpstr>Customer Dashboard</vt:lpstr>
      <vt:lpstr>Product Analysis</vt:lpstr>
      <vt:lpstr>Product pivot</vt:lpstr>
      <vt:lpstr>Product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roshan kumar</cp:lastModifiedBy>
  <cp:revision>2</cp:revision>
  <dcterms:created xsi:type="dcterms:W3CDTF">2026-07-18T05:10:47Z</dcterms:created>
  <dcterms:modified xsi:type="dcterms:W3CDTF">2026-07-31T13:24:47Z</dcterms:modified>
  <dc:language>en-US</dc:language>
</cp:coreProperties>
</file>